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jpg" ContentType="image/jpeg"/>
  <Override PartName="/xl/media/image4.jpg" ContentType="image/jpeg"/>
  <Override PartName="/xl/media/image5.jpg" ContentType="image/jpeg"/>
  <Override PartName="/xl/media/image6.jpg" ContentType="image/jpeg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filterPrivacy="1"/>
  <xr:revisionPtr revIDLastSave="0" documentId="13_ncr:1_{6DADEB3B-3583-8C4A-8F99-7E438DBE307F}" xr6:coauthVersionLast="47" xr6:coauthVersionMax="47" xr10:uidLastSave="{00000000-0000-0000-0000-000000000000}"/>
  <bookViews>
    <workbookView xWindow="4780" yWindow="3200" windowWidth="29040" windowHeight="15720" xr2:uid="{00000000-000D-0000-FFFF-FFFF00000000}"/>
  </bookViews>
  <sheets>
    <sheet name="Sheet1" sheetId="1" r:id="rId1"/>
    <sheet name="사진대지" sheetId="2" r:id="rId2"/>
  </sheets>
  <definedNames>
    <definedName name="_xlnm.Print_Area" localSheetId="1">사진대지!$A$1:$H$22</definedName>
    <definedName name="_xlnm.Print_Area" localSheetId="0">Sheet1!$B2:$I36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D5" i="2" s="1"/>
  <c r="D16" i="2" s="1"/>
  <c r="F17" i="1"/>
  <c r="G23" i="1"/>
  <c r="D54" i="2"/>
  <c r="D49" i="2"/>
  <c r="D43" i="2"/>
  <c r="D38" i="2"/>
  <c r="D32" i="2"/>
  <c r="D27" i="2"/>
  <c r="D21" i="2"/>
  <c r="G22" i="1"/>
  <c r="E22" i="1"/>
  <c r="G21" i="1"/>
  <c r="E21" i="1"/>
  <c r="G20" i="1"/>
  <c r="E20" i="1"/>
  <c r="G19" i="1"/>
  <c r="E19" i="1"/>
  <c r="G18" i="1"/>
  <c r="E18" i="1"/>
  <c r="G17" i="1"/>
  <c r="D10" i="2" l="1"/>
</calcChain>
</file>

<file path=xl/sharedStrings.xml><?xml version="1.0" encoding="utf-8"?>
<sst xmlns="http://schemas.openxmlformats.org/spreadsheetml/2006/main" count="105" uniqueCount="58">
  <si>
    <t>주요자재 검수요청서</t>
  </si>
  <si>
    <t>공 사 명</t>
  </si>
  <si>
    <t>청운교회 교육관 신축공사</t>
  </si>
  <si>
    <t>문서번호</t>
  </si>
  <si>
    <t>수     신</t>
  </si>
  <si>
    <t xml:space="preserve">  CMS</t>
  </si>
  <si>
    <t xml:space="preserve"> 다음과 같이 자재를 </t>
  </si>
  <si>
    <t>에 반입할 예정이오니 반입 시 검수하여 결과를 통보하여 주시기 바랍니다.</t>
  </si>
  <si>
    <t>공         종</t>
  </si>
  <si>
    <t>건축</t>
  </si>
  <si>
    <t>자   재   명</t>
  </si>
  <si>
    <t>철근</t>
  </si>
  <si>
    <t>규         격</t>
  </si>
  <si>
    <t>사 용  부 위</t>
  </si>
  <si>
    <t>공 급  업 체</t>
  </si>
  <si>
    <t>반  입  량</t>
  </si>
  <si>
    <t>■ 반입 총량</t>
  </si>
  <si>
    <t>:</t>
  </si>
  <si>
    <t xml:space="preserve">   ※ 반입자재 송장사본 첨부(필요시 시험성적서 및 검사 체크리스트)</t>
  </si>
  <si>
    <t>주요자재 검수결과통보</t>
  </si>
  <si>
    <t xml:space="preserve">   상기 자재에 대한 검수결과를 다음과 같이 통보하오니 보관 및 사용관리에 철저를 기하여 주시기 바랍니다.</t>
  </si>
  <si>
    <t>검  수  자</t>
  </si>
  <si>
    <t>검 수 일 시</t>
  </si>
  <si>
    <t>검 수 내 용</t>
  </si>
  <si>
    <t>검 수 결 과</t>
  </si>
  <si>
    <t>품명</t>
  </si>
  <si>
    <t>단위</t>
  </si>
  <si>
    <t>만지지마세요</t>
  </si>
  <si>
    <t>Ton</t>
  </si>
  <si>
    <t>콘크리트</t>
  </si>
  <si>
    <t>m3</t>
  </si>
  <si>
    <t>시멘트</t>
  </si>
  <si>
    <t>포</t>
  </si>
  <si>
    <t>커플러</t>
  </si>
  <si>
    <t>개</t>
  </si>
  <si>
    <t>H형강</t>
  </si>
  <si>
    <t>레미탈</t>
  </si>
  <si>
    <t>시멘트벽돌</t>
  </si>
  <si>
    <t>시멘트블럭</t>
  </si>
  <si>
    <t>데크플레이트</t>
  </si>
  <si>
    <t>m2</t>
  </si>
  <si>
    <t>단열재</t>
  </si>
  <si>
    <t>사  진  대  지</t>
  </si>
  <si>
    <t>날  짜</t>
  </si>
  <si>
    <t>장  소</t>
  </si>
  <si>
    <t>현장 내</t>
  </si>
  <si>
    <t>내  용</t>
  </si>
  <si>
    <t xml:space="preserve">현장 대리인  :  기   경   주  </t>
    <phoneticPr fontId="17" type="noConversion"/>
  </si>
  <si>
    <t>경동원</t>
    <phoneticPr fontId="17" type="noConversion"/>
  </si>
  <si>
    <t>단열재</t>
    <phoneticPr fontId="17" type="noConversion"/>
  </si>
  <si>
    <t>경질우레탄 일면준불연 90T, 130T, 180T</t>
    <phoneticPr fontId="17" type="noConversion"/>
  </si>
  <si>
    <t>지상3층 바닥</t>
    <phoneticPr fontId="17" type="noConversion"/>
  </si>
  <si>
    <t>90T</t>
    <phoneticPr fontId="17" type="noConversion"/>
  </si>
  <si>
    <t>130T</t>
    <phoneticPr fontId="17" type="noConversion"/>
  </si>
  <si>
    <t>180T</t>
    <phoneticPr fontId="17" type="noConversion"/>
  </si>
  <si>
    <t>26-04-01</t>
    <phoneticPr fontId="17" type="noConversion"/>
  </si>
  <si>
    <t>단열재 규격</t>
    <phoneticPr fontId="17" type="noConversion"/>
  </si>
  <si>
    <t>단열재 반입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</si>
</sst>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_-;_-@_-"/>
    <numFmt numFmtId="177" formatCode="yyyy&quot;년&quot;\ m&quot;월&quot;\ d&quot;일&quot;;@"/>
    <numFmt numFmtId="178" formatCode="yyyy\-mm\-dd;@"/>
  </numFmts>
  <fonts count="19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굴림체"/>
      <family val="3"/>
      <charset val="129"/>
    </font>
    <font>
      <sz val="26"/>
      <name val="휴먼옛체"/>
      <family val="1"/>
      <charset val="129"/>
    </font>
    <font>
      <sz val="24"/>
      <name val="굴림체"/>
      <family val="3"/>
      <charset val="129"/>
    </font>
    <font>
      <b/>
      <sz val="14"/>
      <color indexed="10"/>
      <name val="굴림체"/>
      <family val="3"/>
      <charset val="129"/>
    </font>
    <font>
      <sz val="8"/>
      <name val="맑은 고딕"/>
      <family val="3"/>
      <charset val="129"/>
      <scheme val="minor"/>
    </font>
    <font>
      <sz val="36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9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tted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Continuous" vertical="top"/>
    </xf>
    <xf numFmtId="0" fontId="15" fillId="0" borderId="0" xfId="0" applyFont="1" applyAlignment="1">
      <alignment horizontal="centerContinuous" vertical="center"/>
    </xf>
    <xf numFmtId="0" fontId="16" fillId="0" borderId="0" xfId="0" applyFont="1" applyAlignment="1">
      <alignment vertical="center"/>
    </xf>
    <xf numFmtId="0" fontId="13" fillId="0" borderId="13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176" fontId="13" fillId="0" borderId="25" xfId="0" applyNumberFormat="1" applyFont="1" applyBorder="1" applyAlignment="1">
      <alignment horizontal="left" vertical="center" indent="1"/>
    </xf>
    <xf numFmtId="0" fontId="13" fillId="0" borderId="29" xfId="0" applyFont="1" applyBorder="1" applyAlignment="1">
      <alignment vertical="center"/>
    </xf>
    <xf numFmtId="0" fontId="13" fillId="0" borderId="35" xfId="0" applyFont="1" applyBorder="1" applyAlignment="1">
      <alignment vertical="center"/>
    </xf>
    <xf numFmtId="176" fontId="13" fillId="0" borderId="33" xfId="0" applyNumberFormat="1" applyFont="1" applyBorder="1" applyAlignment="1">
      <alignment horizontal="left" vertical="center" indent="1"/>
    </xf>
    <xf numFmtId="0" fontId="14" fillId="0" borderId="46" xfId="0" applyFont="1" applyBorder="1" applyAlignment="1">
      <alignment horizontal="centerContinuous" vertical="top"/>
    </xf>
    <xf numFmtId="0" fontId="15" fillId="0" borderId="47" xfId="0" applyFont="1" applyBorder="1" applyAlignment="1">
      <alignment horizontal="centerContinuous" vertical="center"/>
    </xf>
    <xf numFmtId="0" fontId="15" fillId="0" borderId="48" xfId="0" applyFont="1" applyBorder="1" applyAlignment="1">
      <alignment horizontal="centerContinuous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3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14" fontId="7" fillId="0" borderId="6" xfId="0" quotePrefix="1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78" fontId="13" fillId="0" borderId="24" xfId="0" applyNumberFormat="1" applyFont="1" applyBorder="1" applyAlignment="1">
      <alignment horizontal="left" vertical="center"/>
    </xf>
    <xf numFmtId="178" fontId="13" fillId="0" borderId="22" xfId="0" applyNumberFormat="1" applyFont="1" applyBorder="1" applyAlignment="1">
      <alignment horizontal="left" vertical="center"/>
    </xf>
    <xf numFmtId="176" fontId="13" fillId="0" borderId="23" xfId="0" applyNumberFormat="1" applyFont="1" applyBorder="1" applyAlignment="1">
      <alignment horizontal="left" vertical="center"/>
    </xf>
    <xf numFmtId="176" fontId="13" fillId="0" borderId="26" xfId="0" applyNumberFormat="1" applyFont="1" applyBorder="1" applyAlignment="1">
      <alignment horizontal="left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left" vertical="center"/>
    </xf>
    <xf numFmtId="0" fontId="13" fillId="0" borderId="18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178" fontId="13" fillId="0" borderId="19" xfId="0" applyNumberFormat="1" applyFont="1" applyBorder="1" applyAlignment="1">
      <alignment horizontal="left" vertical="center"/>
    </xf>
    <xf numFmtId="178" fontId="13" fillId="0" borderId="34" xfId="0" applyNumberFormat="1" applyFont="1" applyBorder="1" applyAlignment="1">
      <alignment horizontal="left" vertical="center"/>
    </xf>
    <xf numFmtId="176" fontId="13" fillId="0" borderId="35" xfId="0" applyNumberFormat="1" applyFont="1" applyBorder="1" applyAlignment="1">
      <alignment horizontal="left" vertical="center"/>
    </xf>
    <xf numFmtId="176" fontId="13" fillId="0" borderId="20" xfId="0" applyNumberFormat="1" applyFont="1" applyBorder="1" applyAlignment="1">
      <alignment horizontal="left" vertical="center"/>
    </xf>
    <xf numFmtId="0" fontId="18" fillId="0" borderId="36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g"/><Relationship Id="rId1" Type="http://schemas.openxmlformats.org/officeDocument/2006/relationships/image" Target="../media/image3.jpg"/><Relationship Id="rId4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40021</xdr:colOff>
      <xdr:row>26</xdr:row>
      <xdr:rowOff>40023</xdr:rowOff>
    </xdr:from>
    <xdr:to>
      <xdr:col>8</xdr:col>
      <xdr:colOff>227660</xdr:colOff>
      <xdr:row>27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37779" t="28318" r="39214" b="39236"/>
        <a:stretch>
          <a:fillRect/>
        </a:stretch>
      </xdr:blipFill>
      <xdr:spPr>
        <a:xfrm>
          <a:off x="6867605" y="6203258"/>
          <a:ext cx="187639" cy="184096"/>
        </a:xfrm>
        <a:prstGeom prst="rect">
          <a:avLst/>
        </a:prstGeom>
      </xdr:spPr>
    </xdr:pic>
    <xdr:clientData/>
  </xdr:twoCellAnchor>
  <xdr:twoCellAnchor editAs="oneCell">
    <xdr:from>
      <xdr:col>5</xdr:col>
      <xdr:colOff>130314</xdr:colOff>
      <xdr:row>32</xdr:row>
      <xdr:rowOff>77178</xdr:rowOff>
    </xdr:from>
    <xdr:to>
      <xdr:col>5</xdr:col>
      <xdr:colOff>257314</xdr:colOff>
      <xdr:row>32</xdr:row>
      <xdr:rowOff>202096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32018</xdr:colOff>
      <xdr:row>2</xdr:row>
      <xdr:rowOff>540019</xdr:rowOff>
    </xdr:from>
    <xdr:to>
      <xdr:col>3</xdr:col>
      <xdr:colOff>504135</xdr:colOff>
      <xdr:row>3</xdr:row>
      <xdr:rowOff>247549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1</xdr:row>
      <xdr:rowOff>72571</xdr:rowOff>
    </xdr:from>
    <xdr:to>
      <xdr:col>6</xdr:col>
      <xdr:colOff>1524001</xdr:colOff>
      <xdr:row>3</xdr:row>
      <xdr:rowOff>145143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3CEF605-984E-8A96-1946-6A3F7D0D2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1572" y="762000"/>
          <a:ext cx="4934858" cy="3701143"/>
        </a:xfrm>
        <a:prstGeom prst="rect">
          <a:avLst/>
        </a:prstGeom>
      </xdr:spPr>
    </xdr:pic>
    <xdr:clientData/>
  </xdr:twoCellAnchor>
  <xdr:twoCellAnchor editAs="oneCell">
    <xdr:from>
      <xdr:col>2</xdr:col>
      <xdr:colOff>86140</xdr:colOff>
      <xdr:row>6</xdr:row>
      <xdr:rowOff>50002</xdr:rowOff>
    </xdr:from>
    <xdr:to>
      <xdr:col>6</xdr:col>
      <xdr:colOff>1522936</xdr:colOff>
      <xdr:row>8</xdr:row>
      <xdr:rowOff>123903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EBDCB1F-EB1A-532A-60A9-6F209AB26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896" y="5300368"/>
          <a:ext cx="4844113" cy="3682559"/>
        </a:xfrm>
        <a:prstGeom prst="rect">
          <a:avLst/>
        </a:prstGeom>
      </xdr:spPr>
    </xdr:pic>
    <xdr:clientData/>
  </xdr:twoCellAnchor>
  <xdr:twoCellAnchor editAs="oneCell">
    <xdr:from>
      <xdr:col>2</xdr:col>
      <xdr:colOff>78007</xdr:colOff>
      <xdr:row>12</xdr:row>
      <xdr:rowOff>68112</xdr:rowOff>
    </xdr:from>
    <xdr:to>
      <xdr:col>6</xdr:col>
      <xdr:colOff>1455854</xdr:colOff>
      <xdr:row>14</xdr:row>
      <xdr:rowOff>96260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B065EBE-E955-95A3-FEE9-60DB435A8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2763" y="10568844"/>
          <a:ext cx="4785164" cy="363680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88790</xdr:rowOff>
    </xdr:from>
    <xdr:to>
      <xdr:col>6</xdr:col>
      <xdr:colOff>1436079</xdr:colOff>
      <xdr:row>19</xdr:row>
      <xdr:rowOff>123902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E3C44434-31B3-BA8C-EB22-8B93A7053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4756" y="15158424"/>
          <a:ext cx="4843396" cy="3643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52"/>
  <sheetViews>
    <sheetView tabSelected="1" view="pageBreakPreview" zoomScale="119" zoomScaleNormal="100" workbookViewId="0">
      <selection activeCell="D10" sqref="D10"/>
    </sheetView>
  </sheetViews>
  <sheetFormatPr baseColWidth="10" defaultColWidth="8.83203125" defaultRowHeight="17" customHeight="1"/>
  <cols>
    <col min="1" max="1" width="2.1640625" customWidth="1"/>
    <col min="2" max="2" width="11.5" customWidth="1"/>
    <col min="3" max="3" width="4" customWidth="1"/>
    <col min="4" max="4" width="15" customWidth="1"/>
    <col min="5" max="5" width="2" customWidth="1"/>
    <col min="6" max="6" width="12.1640625" customWidth="1"/>
    <col min="7" max="7" width="11.5" customWidth="1"/>
    <col min="8" max="8" width="31.5" customWidth="1"/>
    <col min="9" max="9" width="3.5" customWidth="1"/>
    <col min="12" max="12" width="13.33203125" customWidth="1"/>
  </cols>
  <sheetData>
    <row r="1" spans="2:9" ht="12.5" customHeight="1"/>
    <row r="2" spans="2:9" ht="5" customHeight="1">
      <c r="B2" s="66"/>
      <c r="C2" s="66"/>
      <c r="D2" s="66"/>
      <c r="E2" s="66"/>
      <c r="F2" s="66"/>
      <c r="G2" s="66"/>
      <c r="H2" s="66"/>
      <c r="I2" s="66"/>
    </row>
    <row r="3" spans="2:9" ht="58.25" customHeight="1">
      <c r="B3" s="45" t="s">
        <v>0</v>
      </c>
      <c r="C3" s="45"/>
      <c r="D3" s="45"/>
      <c r="E3" s="45"/>
      <c r="F3" s="45"/>
      <c r="G3" s="45"/>
      <c r="H3" s="45"/>
      <c r="I3" s="45"/>
    </row>
    <row r="4" spans="2:9" ht="21" customHeight="1">
      <c r="B4" s="1"/>
      <c r="C4" s="1"/>
      <c r="D4" s="1"/>
      <c r="E4" s="1"/>
      <c r="F4" s="1"/>
      <c r="G4" s="1"/>
      <c r="H4" s="1"/>
      <c r="I4" s="1"/>
    </row>
    <row r="5" spans="2:9" ht="4" customHeight="1">
      <c r="B5" s="67"/>
      <c r="C5" s="67"/>
      <c r="D5" s="67"/>
      <c r="E5" s="67"/>
      <c r="F5" s="67"/>
      <c r="G5" s="67"/>
      <c r="H5" s="67"/>
      <c r="I5" s="67"/>
    </row>
    <row r="6" spans="2:9" ht="7" customHeight="1">
      <c r="B6" s="2"/>
      <c r="C6" s="2"/>
      <c r="D6" s="2"/>
      <c r="E6" s="2"/>
      <c r="F6" s="2"/>
      <c r="G6" s="2"/>
      <c r="H6" s="2"/>
      <c r="I6" s="2"/>
    </row>
    <row r="7" spans="2:9" ht="24" customHeight="1">
      <c r="B7" s="3" t="s">
        <v>1</v>
      </c>
      <c r="C7" s="4"/>
      <c r="D7" s="68" t="s">
        <v>2</v>
      </c>
      <c r="E7" s="68"/>
      <c r="F7" s="68"/>
      <c r="G7" s="68"/>
      <c r="H7" s="68"/>
      <c r="I7" s="68"/>
    </row>
    <row r="8" spans="2:9" ht="24" customHeight="1">
      <c r="B8" s="5" t="s">
        <v>3</v>
      </c>
      <c r="C8" s="6"/>
      <c r="D8" s="69" t="s">
        <v>55</v>
      </c>
      <c r="E8" s="70"/>
      <c r="F8" s="71"/>
      <c r="G8" s="7" t="s">
        <v>4</v>
      </c>
      <c r="H8" s="72" t="s">
        <v>5</v>
      </c>
      <c r="I8" s="73"/>
    </row>
    <row r="9" spans="2:9" ht="23" customHeight="1">
      <c r="B9" s="8" t="s">
        <v>6</v>
      </c>
      <c r="C9" s="8"/>
      <c r="D9" s="59">
        <v>46114</v>
      </c>
      <c r="E9" s="59"/>
      <c r="F9" s="8" t="s">
        <v>7</v>
      </c>
      <c r="G9" s="8"/>
    </row>
    <row r="10" spans="2:9" ht="16" customHeight="1"/>
    <row r="11" spans="2:9" ht="23" customHeight="1">
      <c r="B11" s="9" t="s">
        <v>8</v>
      </c>
      <c r="C11" s="10"/>
      <c r="D11" s="60" t="s">
        <v>9</v>
      </c>
      <c r="E11" s="61"/>
      <c r="F11" s="61"/>
      <c r="G11" s="61"/>
      <c r="H11" s="61"/>
      <c r="I11" s="62"/>
    </row>
    <row r="12" spans="2:9" ht="23" customHeight="1">
      <c r="B12" s="11" t="s">
        <v>10</v>
      </c>
      <c r="C12" s="12"/>
      <c r="D12" s="63" t="s">
        <v>49</v>
      </c>
      <c r="E12" s="64"/>
      <c r="F12" s="64"/>
      <c r="G12" s="64"/>
      <c r="H12" s="64"/>
      <c r="I12" s="65"/>
    </row>
    <row r="13" spans="2:9" ht="23" customHeight="1">
      <c r="B13" s="11" t="s">
        <v>12</v>
      </c>
      <c r="C13" s="12"/>
      <c r="D13" s="63" t="s">
        <v>50</v>
      </c>
      <c r="E13" s="64"/>
      <c r="F13" s="64"/>
      <c r="G13" s="64"/>
      <c r="H13" s="64"/>
      <c r="I13" s="65"/>
    </row>
    <row r="14" spans="2:9" ht="23" customHeight="1">
      <c r="B14" s="11" t="s">
        <v>13</v>
      </c>
      <c r="C14" s="12"/>
      <c r="D14" s="51" t="s">
        <v>51</v>
      </c>
      <c r="E14" s="52"/>
      <c r="F14" s="52"/>
      <c r="G14" s="52"/>
      <c r="H14" s="52"/>
      <c r="I14" s="52"/>
    </row>
    <row r="15" spans="2:9" ht="23" customHeight="1">
      <c r="B15" s="11" t="s">
        <v>14</v>
      </c>
      <c r="C15" s="12"/>
      <c r="D15" s="51" t="s">
        <v>48</v>
      </c>
      <c r="E15" s="52"/>
      <c r="F15" s="52"/>
      <c r="G15" s="52"/>
      <c r="H15" s="52"/>
      <c r="I15" s="52"/>
    </row>
    <row r="16" spans="2:9" ht="6" customHeight="1">
      <c r="B16" s="54" t="s">
        <v>15</v>
      </c>
      <c r="C16" s="13"/>
      <c r="D16" s="13"/>
      <c r="E16" s="13"/>
      <c r="F16" s="53"/>
      <c r="G16" s="53"/>
      <c r="H16" s="53"/>
      <c r="I16" s="53"/>
    </row>
    <row r="17" spans="2:9" ht="18" customHeight="1">
      <c r="B17" s="54"/>
      <c r="D17" t="s">
        <v>16</v>
      </c>
      <c r="E17" t="s">
        <v>17</v>
      </c>
      <c r="F17">
        <f>SUM(F18:F23)</f>
        <v>222</v>
      </c>
      <c r="G17" t="str">
        <f>_xlfn.XLOOKUP($D$12,L:L,M:M,"없음")</f>
        <v>m2</v>
      </c>
    </row>
    <row r="18" spans="2:9" ht="18" customHeight="1">
      <c r="B18" s="54"/>
      <c r="D18" s="14" t="s">
        <v>52</v>
      </c>
      <c r="E18" t="str">
        <f>IF(D18&lt;&gt;"", ":", "")</f>
        <v>:</v>
      </c>
      <c r="F18">
        <v>136</v>
      </c>
      <c r="G18" t="str">
        <f>IF(D18&lt;&gt;"",_xlfn.XLOOKUP($D$12,L:L,M:M,"없음"), "")</f>
        <v>m2</v>
      </c>
    </row>
    <row r="19" spans="2:9" ht="18" customHeight="1">
      <c r="B19" s="54"/>
      <c r="D19" s="14" t="s">
        <v>53</v>
      </c>
      <c r="E19" t="str">
        <f t="shared" ref="E19:E22" si="0">IF(D19&lt;&gt;"", ":", "")</f>
        <v>:</v>
      </c>
      <c r="F19">
        <v>12</v>
      </c>
      <c r="G19" t="str">
        <f t="shared" ref="G19:G22" si="1">IF(D19&lt;&gt;"",_xlfn.XLOOKUP($D$12,L:L,M:M,"없음"), "")</f>
        <v>m2</v>
      </c>
    </row>
    <row r="20" spans="2:9" ht="18" customHeight="1">
      <c r="B20" s="54"/>
      <c r="D20" s="14" t="s">
        <v>54</v>
      </c>
      <c r="E20" t="str">
        <f t="shared" si="0"/>
        <v>:</v>
      </c>
      <c r="F20">
        <v>74</v>
      </c>
      <c r="G20" t="str">
        <f t="shared" si="1"/>
        <v>m2</v>
      </c>
    </row>
    <row r="21" spans="2:9" ht="18" customHeight="1">
      <c r="B21" s="54"/>
      <c r="D21" s="14"/>
      <c r="E21" t="str">
        <f t="shared" si="0"/>
        <v/>
      </c>
      <c r="G21" t="str">
        <f t="shared" si="1"/>
        <v/>
      </c>
    </row>
    <row r="22" spans="2:9" ht="18" customHeight="1">
      <c r="B22" s="54"/>
      <c r="D22" s="14"/>
      <c r="E22" t="str">
        <f t="shared" si="0"/>
        <v/>
      </c>
      <c r="G22" t="str">
        <f t="shared" si="1"/>
        <v/>
      </c>
    </row>
    <row r="23" spans="2:9" ht="18" customHeight="1">
      <c r="B23" s="54"/>
      <c r="C23" s="15"/>
      <c r="D23" s="14"/>
      <c r="E23" s="15"/>
      <c r="G23" t="str">
        <f t="shared" ref="G23" si="2">IF(D23&lt;&gt;"",_xlfn.XLOOKUP($D$12,L:L,M:M,"없음"), "")</f>
        <v/>
      </c>
      <c r="H23" s="15"/>
      <c r="I23" s="15"/>
    </row>
    <row r="24" spans="2:9" ht="18" customHeight="1">
      <c r="B24" t="s">
        <v>18</v>
      </c>
    </row>
    <row r="25" spans="2:9" ht="9.5" customHeight="1"/>
    <row r="26" spans="2:9" ht="18" customHeight="1">
      <c r="F26" s="55">
        <f>D9</f>
        <v>46114</v>
      </c>
      <c r="G26" s="56"/>
    </row>
    <row r="27" spans="2:9" ht="18" customHeight="1">
      <c r="F27" s="16"/>
      <c r="H27" s="17" t="s">
        <v>47</v>
      </c>
      <c r="I27" s="18"/>
    </row>
    <row r="28" spans="2:9" ht="7" customHeight="1"/>
    <row r="29" spans="2:9" ht="9.25" customHeight="1">
      <c r="B29" s="57"/>
      <c r="C29" s="58"/>
      <c r="D29" s="58"/>
      <c r="E29" s="58"/>
      <c r="F29" s="58"/>
      <c r="G29" s="58"/>
      <c r="H29" s="58"/>
      <c r="I29" s="58"/>
    </row>
    <row r="30" spans="2:9" ht="47.5" customHeight="1">
      <c r="B30" s="45" t="s">
        <v>19</v>
      </c>
      <c r="C30" s="45"/>
      <c r="D30" s="45"/>
      <c r="E30" s="45"/>
      <c r="F30" s="45"/>
      <c r="G30" s="45"/>
      <c r="H30" s="45"/>
      <c r="I30" s="45"/>
    </row>
    <row r="31" spans="2:9" ht="24" customHeight="1">
      <c r="B31" s="46" t="s">
        <v>20</v>
      </c>
      <c r="C31" s="46"/>
      <c r="D31" s="46"/>
      <c r="E31" s="46"/>
      <c r="F31" s="46"/>
      <c r="G31" s="46"/>
      <c r="H31" s="46"/>
      <c r="I31" s="46"/>
    </row>
    <row r="32" spans="2:9" ht="9" customHeight="1">
      <c r="B32" s="19"/>
      <c r="C32" s="19"/>
      <c r="D32" s="19"/>
      <c r="E32" s="19"/>
      <c r="F32" s="19"/>
      <c r="G32" s="19"/>
      <c r="H32" s="19"/>
      <c r="I32" s="19"/>
    </row>
    <row r="33" spans="2:14" ht="28" customHeight="1">
      <c r="B33" s="3" t="s">
        <v>21</v>
      </c>
      <c r="C33" s="47"/>
      <c r="D33" s="47"/>
      <c r="E33" s="47"/>
      <c r="F33" s="47"/>
      <c r="G33" s="20" t="s">
        <v>22</v>
      </c>
      <c r="H33" s="47"/>
      <c r="I33" s="48"/>
    </row>
    <row r="34" spans="2:14" ht="70" customHeight="1">
      <c r="B34" s="5" t="s">
        <v>23</v>
      </c>
      <c r="C34" s="49"/>
      <c r="D34" s="49"/>
      <c r="E34" s="49"/>
      <c r="F34" s="49"/>
      <c r="G34" s="49"/>
      <c r="H34" s="49"/>
      <c r="I34" s="50"/>
    </row>
    <row r="35" spans="2:14" ht="70" customHeight="1">
      <c r="B35" s="5" t="s">
        <v>24</v>
      </c>
      <c r="C35" s="43"/>
      <c r="D35" s="43"/>
      <c r="E35" s="43"/>
      <c r="F35" s="43"/>
      <c r="G35" s="43"/>
      <c r="H35" s="43"/>
      <c r="I35" s="44"/>
    </row>
    <row r="36" spans="2:14" ht="18" customHeight="1">
      <c r="B36" s="21"/>
      <c r="C36" s="21"/>
      <c r="D36" s="21"/>
      <c r="E36" s="21"/>
      <c r="F36" s="21"/>
      <c r="G36" s="21"/>
      <c r="H36" s="21"/>
      <c r="I36" s="21"/>
    </row>
    <row r="42" spans="2:14">
      <c r="L42" t="s">
        <v>25</v>
      </c>
      <c r="M42" t="s">
        <v>26</v>
      </c>
      <c r="N42" s="22" t="s">
        <v>27</v>
      </c>
    </row>
    <row r="43" spans="2:14">
      <c r="L43" t="s">
        <v>11</v>
      </c>
      <c r="M43" t="s">
        <v>28</v>
      </c>
    </row>
    <row r="44" spans="2:14">
      <c r="L44" t="s">
        <v>29</v>
      </c>
      <c r="M44" t="s">
        <v>30</v>
      </c>
    </row>
    <row r="45" spans="2:14">
      <c r="L45" t="s">
        <v>31</v>
      </c>
      <c r="M45" t="s">
        <v>32</v>
      </c>
    </row>
    <row r="46" spans="2:14">
      <c r="L46" t="s">
        <v>33</v>
      </c>
      <c r="M46" t="s">
        <v>34</v>
      </c>
    </row>
    <row r="47" spans="2:14">
      <c r="L47" t="s">
        <v>35</v>
      </c>
      <c r="M47" t="s">
        <v>28</v>
      </c>
    </row>
    <row r="48" spans="2:14">
      <c r="L48" t="s">
        <v>36</v>
      </c>
      <c r="M48" t="s">
        <v>32</v>
      </c>
    </row>
    <row r="49" spans="12:13">
      <c r="L49" t="s">
        <v>37</v>
      </c>
      <c r="M49" t="s">
        <v>34</v>
      </c>
    </row>
    <row r="50" spans="12:13">
      <c r="L50" t="s">
        <v>38</v>
      </c>
      <c r="M50" t="s">
        <v>34</v>
      </c>
    </row>
    <row r="51" spans="12:13">
      <c r="L51" t="s">
        <v>39</v>
      </c>
      <c r="M51" t="s">
        <v>40</v>
      </c>
    </row>
    <row r="52" spans="12:13">
      <c r="L52" t="s">
        <v>41</v>
      </c>
      <c r="M52" t="s">
        <v>40</v>
      </c>
    </row>
  </sheetData>
  <mergeCells count="22">
    <mergeCell ref="B2:I2"/>
    <mergeCell ref="B3:I3"/>
    <mergeCell ref="B5:I5"/>
    <mergeCell ref="D7:I7"/>
    <mergeCell ref="D8:F8"/>
    <mergeCell ref="H8:I8"/>
    <mergeCell ref="D9:E9"/>
    <mergeCell ref="D11:I11"/>
    <mergeCell ref="D12:I12"/>
    <mergeCell ref="D13:I13"/>
    <mergeCell ref="D14:I14"/>
    <mergeCell ref="D15:I15"/>
    <mergeCell ref="F16:I16"/>
    <mergeCell ref="B16:B23"/>
    <mergeCell ref="F26:G26"/>
    <mergeCell ref="B29:I29"/>
    <mergeCell ref="C35:I35"/>
    <mergeCell ref="B30:I30"/>
    <mergeCell ref="B31:I31"/>
    <mergeCell ref="C33:F33"/>
    <mergeCell ref="H33:I33"/>
    <mergeCell ref="C34:I34"/>
  </mergeCells>
  <phoneticPr fontId="17" type="noConversion"/>
  <pageMargins left="0.39370078740157483" right="0.39370078740157483" top="0.74803149606299213" bottom="0.39370078740157483" header="0.31496062992125984" footer="0.31496062992125984"/>
  <pageSetup paperSize="9" scale="96" orientation="portrait" useFirstPageNumber="1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5"/>
  <sheetViews>
    <sheetView view="pageBreakPreview" zoomScale="78" zoomScaleNormal="85" zoomScaleSheetLayoutView="78" workbookViewId="0">
      <selection activeCell="M25" sqref="M25"/>
    </sheetView>
  </sheetViews>
  <sheetFormatPr baseColWidth="10" defaultColWidth="10.83203125" defaultRowHeight="28.5" customHeight="1"/>
  <cols>
    <col min="1" max="1" width="2.5" style="23" customWidth="1"/>
    <col min="2" max="2" width="10" style="23" customWidth="1"/>
    <col min="3" max="3" width="4.5" style="23" customWidth="1"/>
    <col min="4" max="4" width="10.1640625" style="23" customWidth="1"/>
    <col min="5" max="5" width="18" style="23" customWidth="1"/>
    <col min="6" max="6" width="12" style="23" customWidth="1"/>
    <col min="7" max="7" width="31.6640625" style="23" customWidth="1"/>
    <col min="8" max="8" width="2.5" style="23" customWidth="1"/>
    <col min="9" max="9" width="10.83203125" style="23" customWidth="1"/>
    <col min="10" max="16384" width="10.83203125" style="23"/>
  </cols>
  <sheetData>
    <row r="1" spans="1:16" ht="54.75" customHeight="1" thickBot="1">
      <c r="A1" s="40" t="s">
        <v>42</v>
      </c>
      <c r="B1" s="41"/>
      <c r="C1" s="41"/>
      <c r="D1" s="41"/>
      <c r="E1" s="41"/>
      <c r="F1" s="41"/>
      <c r="G1" s="41"/>
      <c r="H1" s="42"/>
      <c r="K1" s="26"/>
    </row>
    <row r="2" spans="1:16" ht="15" customHeight="1">
      <c r="A2" s="90"/>
      <c r="B2" s="91"/>
      <c r="C2" s="91"/>
      <c r="D2" s="91"/>
      <c r="E2" s="91"/>
      <c r="F2" s="91"/>
      <c r="G2" s="91"/>
      <c r="H2" s="92"/>
    </row>
    <row r="3" spans="1:16" ht="270" customHeight="1">
      <c r="A3" s="93"/>
      <c r="B3" s="94"/>
      <c r="C3" s="94"/>
      <c r="D3" s="94"/>
      <c r="E3" s="94"/>
      <c r="F3" s="94"/>
      <c r="G3" s="94"/>
      <c r="H3" s="95"/>
      <c r="L3"/>
      <c r="P3"/>
    </row>
    <row r="4" spans="1:16" ht="15" customHeight="1" thickBot="1">
      <c r="A4" s="96"/>
      <c r="B4" s="97"/>
      <c r="C4" s="97"/>
      <c r="D4" s="97"/>
      <c r="E4" s="97"/>
      <c r="F4" s="97"/>
      <c r="G4" s="97"/>
      <c r="H4" s="98"/>
    </row>
    <row r="5" spans="1:16" ht="31.5" customHeight="1">
      <c r="A5" s="84" t="s">
        <v>43</v>
      </c>
      <c r="B5" s="85"/>
      <c r="C5" s="38"/>
      <c r="D5" s="86">
        <f>Sheet1!F26</f>
        <v>46114</v>
      </c>
      <c r="E5" s="87"/>
      <c r="F5" s="39" t="s">
        <v>44</v>
      </c>
      <c r="G5" s="88" t="s">
        <v>45</v>
      </c>
      <c r="H5" s="89"/>
    </row>
    <row r="6" spans="1:16" ht="31.5" customHeight="1" thickBot="1">
      <c r="A6" s="80" t="s">
        <v>46</v>
      </c>
      <c r="B6" s="81"/>
      <c r="C6" s="37"/>
      <c r="D6" s="82" t="s">
        <v>56</v>
      </c>
      <c r="E6" s="82"/>
      <c r="F6" s="82"/>
      <c r="G6" s="82"/>
      <c r="H6" s="83"/>
    </row>
    <row r="7" spans="1:16" ht="15" customHeight="1">
      <c r="A7" s="99"/>
      <c r="B7" s="100"/>
      <c r="C7" s="100"/>
      <c r="D7" s="100"/>
      <c r="E7" s="100"/>
      <c r="F7" s="100"/>
      <c r="G7" s="100"/>
      <c r="H7" s="101"/>
    </row>
    <row r="8" spans="1:16" ht="270" customHeight="1">
      <c r="A8" s="102"/>
      <c r="B8" s="103"/>
      <c r="C8" s="103"/>
      <c r="D8" s="103"/>
      <c r="E8" s="103"/>
      <c r="F8" s="103"/>
      <c r="G8" s="103"/>
      <c r="H8" s="104"/>
    </row>
    <row r="9" spans="1:16" ht="15" customHeight="1" thickBot="1">
      <c r="A9" s="105"/>
      <c r="B9" s="106"/>
      <c r="C9" s="106"/>
      <c r="D9" s="106"/>
      <c r="E9" s="106"/>
      <c r="F9" s="106"/>
      <c r="G9" s="106"/>
      <c r="H9" s="107"/>
    </row>
    <row r="10" spans="1:16" ht="31.5" customHeight="1">
      <c r="A10" s="84" t="s">
        <v>43</v>
      </c>
      <c r="B10" s="85"/>
      <c r="C10" s="38"/>
      <c r="D10" s="86">
        <f>D5</f>
        <v>46114</v>
      </c>
      <c r="E10" s="87"/>
      <c r="F10" s="39" t="s">
        <v>44</v>
      </c>
      <c r="G10" s="88" t="s">
        <v>45</v>
      </c>
      <c r="H10" s="89"/>
    </row>
    <row r="11" spans="1:16" ht="31.5" customHeight="1">
      <c r="A11" s="80" t="s">
        <v>46</v>
      </c>
      <c r="B11" s="81"/>
      <c r="C11" s="37"/>
      <c r="D11" s="82" t="s">
        <v>56</v>
      </c>
      <c r="E11" s="82"/>
      <c r="F11" s="82"/>
      <c r="G11" s="82"/>
      <c r="H11" s="83"/>
    </row>
    <row r="12" spans="1:16" ht="54.75" customHeight="1">
      <c r="A12" s="24" t="s">
        <v>42</v>
      </c>
      <c r="B12" s="25"/>
      <c r="C12" s="25"/>
      <c r="D12" s="25"/>
      <c r="E12" s="25"/>
      <c r="F12" s="25"/>
      <c r="G12" s="25"/>
      <c r="H12" s="25"/>
      <c r="K12" s="26"/>
    </row>
    <row r="13" spans="1:16" ht="15" customHeight="1">
      <c r="A13" s="27"/>
      <c r="B13" s="28"/>
      <c r="C13" s="28"/>
      <c r="D13" s="28"/>
      <c r="E13" s="28"/>
      <c r="F13" s="28"/>
      <c r="G13" s="28"/>
      <c r="H13" s="29"/>
    </row>
    <row r="14" spans="1:16" ht="270" customHeight="1">
      <c r="A14" s="30"/>
      <c r="H14" s="31"/>
    </row>
    <row r="15" spans="1:16" ht="15" customHeight="1">
      <c r="A15" s="32"/>
      <c r="B15" s="33"/>
      <c r="C15" s="33"/>
      <c r="D15" s="33"/>
      <c r="E15" s="33"/>
      <c r="F15" s="33"/>
      <c r="G15" s="33"/>
      <c r="H15" s="34"/>
    </row>
    <row r="16" spans="1:16" ht="31.5" customHeight="1">
      <c r="A16" s="74" t="s">
        <v>43</v>
      </c>
      <c r="B16" s="75"/>
      <c r="C16" s="35"/>
      <c r="D16" s="76">
        <f>D5</f>
        <v>46114</v>
      </c>
      <c r="E16" s="77"/>
      <c r="F16" s="36" t="s">
        <v>44</v>
      </c>
      <c r="G16" s="78" t="s">
        <v>45</v>
      </c>
      <c r="H16" s="79"/>
    </row>
    <row r="17" spans="1:11" ht="31.5" customHeight="1">
      <c r="A17" s="80" t="s">
        <v>46</v>
      </c>
      <c r="B17" s="81"/>
      <c r="C17" s="37"/>
      <c r="D17" s="82" t="s">
        <v>57</v>
      </c>
      <c r="E17" s="82"/>
      <c r="F17" s="82"/>
      <c r="G17" s="82"/>
      <c r="H17" s="83"/>
    </row>
    <row r="18" spans="1:11" ht="15" customHeight="1">
      <c r="A18" s="27"/>
      <c r="B18" s="28"/>
      <c r="C18" s="28"/>
      <c r="D18" s="28"/>
      <c r="E18" s="28"/>
      <c r="F18" s="28"/>
      <c r="G18" s="28"/>
      <c r="H18" s="29"/>
    </row>
    <row r="19" spans="1:11" ht="270" customHeight="1">
      <c r="A19" s="30"/>
      <c r="H19" s="31"/>
    </row>
    <row r="20" spans="1:11" ht="15" customHeight="1">
      <c r="A20" s="32"/>
      <c r="B20" s="33"/>
      <c r="C20" s="33"/>
      <c r="D20" s="33"/>
      <c r="E20" s="33"/>
      <c r="F20" s="33"/>
      <c r="G20" s="33"/>
      <c r="H20" s="34"/>
    </row>
    <row r="21" spans="1:11" ht="31.5" customHeight="1">
      <c r="A21" s="74" t="s">
        <v>43</v>
      </c>
      <c r="B21" s="75"/>
      <c r="C21" s="35"/>
      <c r="D21" s="76">
        <f>Sheet1!$D$9</f>
        <v>46114</v>
      </c>
      <c r="E21" s="77"/>
      <c r="F21" s="36" t="s">
        <v>44</v>
      </c>
      <c r="G21" s="78" t="s">
        <v>45</v>
      </c>
      <c r="H21" s="79"/>
    </row>
    <row r="22" spans="1:11" ht="31.5" customHeight="1">
      <c r="A22" s="80" t="s">
        <v>46</v>
      </c>
      <c r="B22" s="81"/>
      <c r="C22" s="37"/>
      <c r="D22" s="82" t="s">
        <v>57</v>
      </c>
      <c r="E22" s="82"/>
      <c r="F22" s="82"/>
      <c r="G22" s="82"/>
      <c r="H22" s="83"/>
    </row>
    <row r="23" spans="1:11" ht="54.75" customHeight="1">
      <c r="A23" s="24" t="s">
        <v>42</v>
      </c>
      <c r="B23" s="25"/>
      <c r="C23" s="25"/>
      <c r="D23" s="25"/>
      <c r="E23" s="25"/>
      <c r="F23" s="25"/>
      <c r="G23" s="25"/>
      <c r="H23" s="25"/>
      <c r="K23" s="26"/>
    </row>
    <row r="24" spans="1:11" ht="15" customHeight="1">
      <c r="A24" s="27"/>
      <c r="B24" s="28"/>
      <c r="C24" s="28"/>
      <c r="D24" s="28"/>
      <c r="E24" s="28"/>
      <c r="F24" s="28"/>
      <c r="G24" s="28"/>
      <c r="H24" s="29"/>
    </row>
    <row r="25" spans="1:11" ht="270" customHeight="1">
      <c r="A25" s="30"/>
      <c r="H25" s="31"/>
    </row>
    <row r="26" spans="1:11" ht="15" customHeight="1">
      <c r="A26" s="32"/>
      <c r="B26" s="33"/>
      <c r="C26" s="33"/>
      <c r="D26" s="33"/>
      <c r="E26" s="33"/>
      <c r="F26" s="33"/>
      <c r="G26" s="33"/>
      <c r="H26" s="34"/>
    </row>
    <row r="27" spans="1:11" ht="31.5" customHeight="1">
      <c r="A27" s="74" t="s">
        <v>43</v>
      </c>
      <c r="B27" s="75"/>
      <c r="C27" s="35"/>
      <c r="D27" s="76">
        <f>Sheet1!$D$9</f>
        <v>46114</v>
      </c>
      <c r="E27" s="77"/>
      <c r="F27" s="36" t="s">
        <v>44</v>
      </c>
      <c r="G27" s="78" t="s">
        <v>45</v>
      </c>
      <c r="H27" s="79"/>
    </row>
    <row r="28" spans="1:11" ht="31.5" customHeight="1">
      <c r="A28" s="80" t="s">
        <v>46</v>
      </c>
      <c r="B28" s="81"/>
      <c r="C28" s="37"/>
      <c r="D28" s="82"/>
      <c r="E28" s="82"/>
      <c r="F28" s="82"/>
      <c r="G28" s="82"/>
      <c r="H28" s="83"/>
    </row>
    <row r="29" spans="1:11" ht="15" customHeight="1">
      <c r="A29" s="27"/>
      <c r="B29" s="28"/>
      <c r="C29" s="28"/>
      <c r="D29" s="28"/>
      <c r="E29" s="28"/>
      <c r="F29" s="28"/>
      <c r="G29" s="28"/>
      <c r="H29" s="29"/>
    </row>
    <row r="30" spans="1:11" ht="270" customHeight="1">
      <c r="A30" s="30"/>
      <c r="H30" s="31"/>
    </row>
    <row r="31" spans="1:11" ht="15" customHeight="1">
      <c r="A31" s="32"/>
      <c r="B31" s="33"/>
      <c r="C31" s="33"/>
      <c r="D31" s="33"/>
      <c r="E31" s="33"/>
      <c r="F31" s="33"/>
      <c r="G31" s="33"/>
      <c r="H31" s="34"/>
    </row>
    <row r="32" spans="1:11" ht="31.5" customHeight="1">
      <c r="A32" s="74" t="s">
        <v>43</v>
      </c>
      <c r="B32" s="75"/>
      <c r="C32" s="35"/>
      <c r="D32" s="76">
        <f>Sheet1!$D$9</f>
        <v>46114</v>
      </c>
      <c r="E32" s="77"/>
      <c r="F32" s="36" t="s">
        <v>44</v>
      </c>
      <c r="G32" s="78" t="s">
        <v>45</v>
      </c>
      <c r="H32" s="79"/>
    </row>
    <row r="33" spans="1:11" ht="31.5" customHeight="1">
      <c r="A33" s="80" t="s">
        <v>46</v>
      </c>
      <c r="B33" s="81"/>
      <c r="C33" s="37"/>
      <c r="D33" s="82"/>
      <c r="E33" s="82"/>
      <c r="F33" s="82"/>
      <c r="G33" s="82"/>
      <c r="H33" s="83"/>
    </row>
    <row r="34" spans="1:11" ht="54.75" customHeight="1">
      <c r="A34" s="24" t="s">
        <v>42</v>
      </c>
      <c r="B34" s="25"/>
      <c r="C34" s="25"/>
      <c r="D34" s="25"/>
      <c r="E34" s="25"/>
      <c r="F34" s="25"/>
      <c r="G34" s="25"/>
      <c r="H34" s="25"/>
      <c r="K34" s="26"/>
    </row>
    <row r="35" spans="1:11" ht="15" customHeight="1">
      <c r="A35" s="27"/>
      <c r="B35" s="28"/>
      <c r="C35" s="28"/>
      <c r="D35" s="28"/>
      <c r="E35" s="28"/>
      <c r="F35" s="28"/>
      <c r="G35" s="28"/>
      <c r="H35" s="29"/>
    </row>
    <row r="36" spans="1:11" ht="270" customHeight="1">
      <c r="A36" s="30"/>
      <c r="H36" s="31"/>
    </row>
    <row r="37" spans="1:11" ht="15" customHeight="1">
      <c r="A37" s="32"/>
      <c r="B37" s="33"/>
      <c r="C37" s="33"/>
      <c r="D37" s="33"/>
      <c r="E37" s="33"/>
      <c r="F37" s="33"/>
      <c r="G37" s="33"/>
      <c r="H37" s="34"/>
    </row>
    <row r="38" spans="1:11" ht="31.5" customHeight="1">
      <c r="A38" s="74" t="s">
        <v>43</v>
      </c>
      <c r="B38" s="75"/>
      <c r="C38" s="35"/>
      <c r="D38" s="76">
        <f>Sheet1!$D$9</f>
        <v>46114</v>
      </c>
      <c r="E38" s="77"/>
      <c r="F38" s="36" t="s">
        <v>44</v>
      </c>
      <c r="G38" s="78" t="s">
        <v>45</v>
      </c>
      <c r="H38" s="79"/>
    </row>
    <row r="39" spans="1:11" ht="31.5" customHeight="1">
      <c r="A39" s="80" t="s">
        <v>46</v>
      </c>
      <c r="B39" s="81"/>
      <c r="C39" s="37"/>
      <c r="D39" s="82"/>
      <c r="E39" s="82"/>
      <c r="F39" s="82"/>
      <c r="G39" s="82"/>
      <c r="H39" s="83"/>
    </row>
    <row r="40" spans="1:11" ht="15" customHeight="1">
      <c r="A40" s="27"/>
      <c r="B40" s="28"/>
      <c r="C40" s="28"/>
      <c r="D40" s="28"/>
      <c r="E40" s="28"/>
      <c r="F40" s="28"/>
      <c r="G40" s="28"/>
      <c r="H40" s="29"/>
    </row>
    <row r="41" spans="1:11" ht="270" customHeight="1">
      <c r="A41" s="30"/>
      <c r="H41" s="31"/>
    </row>
    <row r="42" spans="1:11" ht="15" customHeight="1">
      <c r="A42" s="32"/>
      <c r="B42" s="33"/>
      <c r="C42" s="33"/>
      <c r="D42" s="33"/>
      <c r="E42" s="33"/>
      <c r="F42" s="33"/>
      <c r="G42" s="33"/>
      <c r="H42" s="34"/>
    </row>
    <row r="43" spans="1:11" ht="31.5" customHeight="1">
      <c r="A43" s="74" t="s">
        <v>43</v>
      </c>
      <c r="B43" s="75"/>
      <c r="C43" s="35"/>
      <c r="D43" s="76">
        <f>Sheet1!$D$9</f>
        <v>46114</v>
      </c>
      <c r="E43" s="77"/>
      <c r="F43" s="36" t="s">
        <v>44</v>
      </c>
      <c r="G43" s="78" t="s">
        <v>45</v>
      </c>
      <c r="H43" s="79"/>
    </row>
    <row r="44" spans="1:11" ht="31.5" customHeight="1">
      <c r="A44" s="80" t="s">
        <v>46</v>
      </c>
      <c r="B44" s="81"/>
      <c r="C44" s="37"/>
      <c r="D44" s="82"/>
      <c r="E44" s="82"/>
      <c r="F44" s="82"/>
      <c r="G44" s="82"/>
      <c r="H44" s="83"/>
    </row>
    <row r="45" spans="1:11" ht="54.75" customHeight="1">
      <c r="A45" s="24" t="s">
        <v>42</v>
      </c>
      <c r="B45" s="25"/>
      <c r="C45" s="25"/>
      <c r="D45" s="25"/>
      <c r="E45" s="25"/>
      <c r="F45" s="25"/>
      <c r="G45" s="25"/>
      <c r="H45" s="25"/>
      <c r="K45" s="26"/>
    </row>
    <row r="46" spans="1:11" ht="15" customHeight="1">
      <c r="A46" s="27"/>
      <c r="B46" s="28"/>
      <c r="C46" s="28"/>
      <c r="D46" s="28"/>
      <c r="E46" s="28"/>
      <c r="F46" s="28"/>
      <c r="G46" s="28"/>
      <c r="H46" s="29"/>
    </row>
    <row r="47" spans="1:11" ht="270" customHeight="1">
      <c r="A47" s="30"/>
      <c r="H47" s="31"/>
    </row>
    <row r="48" spans="1:11" ht="15" customHeight="1">
      <c r="A48" s="32"/>
      <c r="B48" s="33"/>
      <c r="C48" s="33"/>
      <c r="D48" s="33"/>
      <c r="E48" s="33"/>
      <c r="F48" s="33"/>
      <c r="G48" s="33"/>
      <c r="H48" s="34"/>
    </row>
    <row r="49" spans="1:8" ht="31.5" customHeight="1">
      <c r="A49" s="74" t="s">
        <v>43</v>
      </c>
      <c r="B49" s="75"/>
      <c r="C49" s="35"/>
      <c r="D49" s="76">
        <f>Sheet1!$D$9</f>
        <v>46114</v>
      </c>
      <c r="E49" s="77"/>
      <c r="F49" s="36" t="s">
        <v>44</v>
      </c>
      <c r="G49" s="78" t="s">
        <v>45</v>
      </c>
      <c r="H49" s="79"/>
    </row>
    <row r="50" spans="1:8" ht="31.5" customHeight="1">
      <c r="A50" s="80" t="s">
        <v>46</v>
      </c>
      <c r="B50" s="81"/>
      <c r="C50" s="37"/>
      <c r="D50" s="82"/>
      <c r="E50" s="82"/>
      <c r="F50" s="82"/>
      <c r="G50" s="82"/>
      <c r="H50" s="83"/>
    </row>
    <row r="51" spans="1:8" ht="15" customHeight="1">
      <c r="A51" s="27"/>
      <c r="B51" s="28"/>
      <c r="C51" s="28"/>
      <c r="D51" s="28"/>
      <c r="E51" s="28"/>
      <c r="F51" s="28"/>
      <c r="G51" s="28"/>
      <c r="H51" s="29"/>
    </row>
    <row r="52" spans="1:8" ht="270" customHeight="1">
      <c r="A52" s="30"/>
      <c r="H52" s="31"/>
    </row>
    <row r="53" spans="1:8" ht="15" customHeight="1">
      <c r="A53" s="32"/>
      <c r="B53" s="33"/>
      <c r="C53" s="33"/>
      <c r="D53" s="33"/>
      <c r="E53" s="33"/>
      <c r="F53" s="33"/>
      <c r="G53" s="33"/>
      <c r="H53" s="34"/>
    </row>
    <row r="54" spans="1:8" ht="31.5" customHeight="1">
      <c r="A54" s="74" t="s">
        <v>43</v>
      </c>
      <c r="B54" s="75"/>
      <c r="C54" s="35"/>
      <c r="D54" s="76">
        <f>Sheet1!$D$9</f>
        <v>46114</v>
      </c>
      <c r="E54" s="77"/>
      <c r="F54" s="36" t="s">
        <v>44</v>
      </c>
      <c r="G54" s="78" t="s">
        <v>45</v>
      </c>
      <c r="H54" s="79"/>
    </row>
    <row r="55" spans="1:8" ht="31.5" customHeight="1">
      <c r="A55" s="80" t="s">
        <v>46</v>
      </c>
      <c r="B55" s="81"/>
      <c r="C55" s="37"/>
      <c r="D55" s="82"/>
      <c r="E55" s="82"/>
      <c r="F55" s="82"/>
      <c r="G55" s="82"/>
      <c r="H55" s="83"/>
    </row>
  </sheetData>
  <mergeCells count="52">
    <mergeCell ref="A2:H4"/>
    <mergeCell ref="A7:H9"/>
    <mergeCell ref="A5:B5"/>
    <mergeCell ref="D5:E5"/>
    <mergeCell ref="G5:H5"/>
    <mergeCell ref="A6:B6"/>
    <mergeCell ref="D6:H6"/>
    <mergeCell ref="A10:B10"/>
    <mergeCell ref="D10:E10"/>
    <mergeCell ref="G10:H10"/>
    <mergeCell ref="A11:B11"/>
    <mergeCell ref="D11:H11"/>
    <mergeCell ref="A16:B16"/>
    <mergeCell ref="D16:E16"/>
    <mergeCell ref="G16:H16"/>
    <mergeCell ref="A17:B17"/>
    <mergeCell ref="D17:H17"/>
    <mergeCell ref="A21:B21"/>
    <mergeCell ref="D21:E21"/>
    <mergeCell ref="G21:H21"/>
    <mergeCell ref="A22:B22"/>
    <mergeCell ref="D22:H22"/>
    <mergeCell ref="A27:B27"/>
    <mergeCell ref="D27:E27"/>
    <mergeCell ref="G27:H27"/>
    <mergeCell ref="A28:B28"/>
    <mergeCell ref="D28:H28"/>
    <mergeCell ref="A32:B32"/>
    <mergeCell ref="D32:E32"/>
    <mergeCell ref="G32:H32"/>
    <mergeCell ref="A33:B33"/>
    <mergeCell ref="D33:H33"/>
    <mergeCell ref="A38:B38"/>
    <mergeCell ref="D38:E38"/>
    <mergeCell ref="G38:H38"/>
    <mergeCell ref="A39:B39"/>
    <mergeCell ref="D39:H39"/>
    <mergeCell ref="A43:B43"/>
    <mergeCell ref="D43:E43"/>
    <mergeCell ref="G43:H43"/>
    <mergeCell ref="A44:B44"/>
    <mergeCell ref="D44:H44"/>
    <mergeCell ref="A49:B49"/>
    <mergeCell ref="D49:E49"/>
    <mergeCell ref="G49:H49"/>
    <mergeCell ref="A50:B50"/>
    <mergeCell ref="D50:H50"/>
    <mergeCell ref="A54:B54"/>
    <mergeCell ref="D54:E54"/>
    <mergeCell ref="G54:H54"/>
    <mergeCell ref="A55:B55"/>
    <mergeCell ref="D55:H55"/>
  </mergeCells>
  <phoneticPr fontId="17" type="noConversion"/>
  <printOptions horizontalCentered="1"/>
  <pageMargins left="0.39" right="0.39" top="0.75" bottom="0.39" header="0.43307086614173201" footer="0.39370078740157499"/>
  <pageSetup paperSize="9" scale="96" orientation="portrait" useFirstPageNumber="1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Sheet1</vt:lpstr>
      <vt:lpstr>사진대지</vt:lpstr>
      <vt:lpstr>사진대지!Print_Area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2025-09-04T06:34:40Z</cp:lastPrinted>
  <dcterms:created xsi:type="dcterms:W3CDTF">2025-07-29T08:03:34Z</dcterms:created>
  <dcterms:modified xsi:type="dcterms:W3CDTF">2026-04-02T08:40:47Z</dcterms:modified>
</cp:coreProperties>
</file>