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jPemNpFr_5RYE6RH8_THRcFLpNEfAX5z\##선혜원\03-3 공사일보, 일일업체출역일보, 안전교육일지\공사일보\"/>
    </mc:Choice>
  </mc:AlternateContent>
  <xr:revisionPtr revIDLastSave="0" documentId="13_ncr:1_{6A56FE31-A083-40AE-9ADE-E76B645C6792}" xr6:coauthVersionLast="47" xr6:coauthVersionMax="47" xr10:uidLastSave="{00000000-0000-0000-0000-000000000000}"/>
  <bookViews>
    <workbookView xWindow="-120" yWindow="-120" windowWidth="29040" windowHeight="15840" firstSheet="24" activeTab="29" xr2:uid="{00000000-000D-0000-FFFF-FFFF00000000}"/>
  </bookViews>
  <sheets>
    <sheet name="5.2" sheetId="1105" r:id="rId1"/>
    <sheet name="5.3" sheetId="1106" r:id="rId2"/>
    <sheet name="5.4" sheetId="1107" r:id="rId3"/>
    <sheet name="5.5" sheetId="1108" r:id="rId4"/>
    <sheet name="5.6" sheetId="1109" r:id="rId5"/>
    <sheet name="5.7" sheetId="1110" r:id="rId6"/>
    <sheet name="5.8" sheetId="1111" r:id="rId7"/>
    <sheet name="5.9" sheetId="1112" r:id="rId8"/>
    <sheet name="5.10" sheetId="1113" r:id="rId9"/>
    <sheet name="5.11" sheetId="1114" r:id="rId10"/>
    <sheet name="5.12" sheetId="1115" r:id="rId11"/>
    <sheet name="5.13" sheetId="1116" r:id="rId12"/>
    <sheet name="5.14" sheetId="1117" r:id="rId13"/>
    <sheet name="5.15" sheetId="1118" r:id="rId14"/>
    <sheet name="5.16" sheetId="1119" r:id="rId15"/>
    <sheet name="5.17" sheetId="1120" r:id="rId16"/>
    <sheet name="5.18" sheetId="1121" r:id="rId17"/>
    <sheet name="5.19" sheetId="1122" r:id="rId18"/>
    <sheet name="5.20" sheetId="1123" r:id="rId19"/>
    <sheet name="5.21" sheetId="1124" r:id="rId20"/>
    <sheet name="5.22" sheetId="1125" r:id="rId21"/>
    <sheet name="5.23" sheetId="1126" r:id="rId22"/>
    <sheet name="5.24" sheetId="1127" r:id="rId23"/>
    <sheet name="5.25" sheetId="1128" r:id="rId24"/>
    <sheet name="5.26" sheetId="1129" r:id="rId25"/>
    <sheet name="5.27" sheetId="1130" r:id="rId26"/>
    <sheet name="5.28" sheetId="1131" r:id="rId27"/>
    <sheet name="5.29" sheetId="1132" r:id="rId28"/>
    <sheet name="5.30" sheetId="1133" r:id="rId29"/>
    <sheet name="5.31" sheetId="1134" r:id="rId30"/>
  </sheets>
  <definedNames>
    <definedName name="_xlnm.Print_Area" localSheetId="8">'5.10'!$A$1:$R$56</definedName>
    <definedName name="_xlnm.Print_Area" localSheetId="9">'5.11'!$A$1:$R$56</definedName>
    <definedName name="_xlnm.Print_Area" localSheetId="10">'5.12'!$A$1:$R$56</definedName>
    <definedName name="_xlnm.Print_Area" localSheetId="11">'5.13'!$A$1:$R$56</definedName>
    <definedName name="_xlnm.Print_Area" localSheetId="12">'5.14'!$A$1:$R$56</definedName>
    <definedName name="_xlnm.Print_Area" localSheetId="13">'5.15'!$A$1:$R$56</definedName>
    <definedName name="_xlnm.Print_Area" localSheetId="14">'5.16'!$A$1:$R$56</definedName>
    <definedName name="_xlnm.Print_Area" localSheetId="15">'5.17'!$A$1:$R$56</definedName>
    <definedName name="_xlnm.Print_Area" localSheetId="16">'5.18'!$A$1:$R$56</definedName>
    <definedName name="_xlnm.Print_Area" localSheetId="17">'5.19'!$A$1:$R$56</definedName>
    <definedName name="_xlnm.Print_Area" localSheetId="0">'5.2'!$A$1:$R$56</definedName>
    <definedName name="_xlnm.Print_Area" localSheetId="18">'5.20'!$A$1:$R$56</definedName>
    <definedName name="_xlnm.Print_Area" localSheetId="19">'5.21'!$A$1:$R$56</definedName>
    <definedName name="_xlnm.Print_Area" localSheetId="20">'5.22'!$A$1:$R$56</definedName>
    <definedName name="_xlnm.Print_Area" localSheetId="21">'5.23'!$A$1:$R$56</definedName>
    <definedName name="_xlnm.Print_Area" localSheetId="22">'5.24'!$A$1:$R$56</definedName>
    <definedName name="_xlnm.Print_Area" localSheetId="23">'5.25'!$A$1:$R$56</definedName>
    <definedName name="_xlnm.Print_Area" localSheetId="24">'5.26'!$A$1:$R$56</definedName>
    <definedName name="_xlnm.Print_Area" localSheetId="25">'5.27'!$A$1:$R$56</definedName>
    <definedName name="_xlnm.Print_Area" localSheetId="26">'5.28'!$A$1:$R$56</definedName>
    <definedName name="_xlnm.Print_Area" localSheetId="27">'5.29'!$A$1:$R$56</definedName>
    <definedName name="_xlnm.Print_Area" localSheetId="1">'5.3'!$A$1:$R$56</definedName>
    <definedName name="_xlnm.Print_Area" localSheetId="28">'5.30'!$A$1:$R$56</definedName>
    <definedName name="_xlnm.Print_Area" localSheetId="29">'5.31'!$A$1:$R$56</definedName>
    <definedName name="_xlnm.Print_Area" localSheetId="2">'5.4'!$A$1:$R$56</definedName>
    <definedName name="_xlnm.Print_Area" localSheetId="3">'5.5'!$A$1:$R$56</definedName>
    <definedName name="_xlnm.Print_Area" localSheetId="4">'5.6'!$A$1:$R$56</definedName>
    <definedName name="_xlnm.Print_Area" localSheetId="5">'5.7'!$A$1:$R$56</definedName>
    <definedName name="_xlnm.Print_Area" localSheetId="6">'5.8'!$A$1:$R$56</definedName>
    <definedName name="_xlnm.Print_Area" localSheetId="7">'5.9'!$A$1:$R$56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" i="1134" l="1"/>
  <c r="K78" i="1134"/>
  <c r="K77" i="1134"/>
  <c r="K75" i="1134"/>
  <c r="K74" i="1134"/>
  <c r="K73" i="1134"/>
  <c r="K71" i="1134"/>
  <c r="K70" i="1134"/>
  <c r="K69" i="1134"/>
  <c r="K67" i="1134"/>
  <c r="K65" i="1134"/>
  <c r="F62" i="1134"/>
  <c r="F61" i="1134"/>
  <c r="K56" i="1134"/>
  <c r="K55" i="1134"/>
  <c r="K54" i="1134"/>
  <c r="K53" i="1134"/>
  <c r="K52" i="1134"/>
  <c r="F52" i="1134"/>
  <c r="K51" i="1134"/>
  <c r="F51" i="1134"/>
  <c r="K50" i="1134"/>
  <c r="F50" i="1134"/>
  <c r="K49" i="1134"/>
  <c r="F49" i="1134"/>
  <c r="K48" i="1134"/>
  <c r="F48" i="1134"/>
  <c r="Q47" i="1134"/>
  <c r="P47" i="1134"/>
  <c r="K47" i="1134"/>
  <c r="F47" i="1134"/>
  <c r="K46" i="1134"/>
  <c r="F46" i="1134"/>
  <c r="K45" i="1134"/>
  <c r="F45" i="1134"/>
  <c r="K44" i="1134"/>
  <c r="F44" i="1134"/>
  <c r="K43" i="1134"/>
  <c r="F43" i="1134"/>
  <c r="K42" i="1134"/>
  <c r="F42" i="1134"/>
  <c r="R29" i="1134"/>
  <c r="R28" i="1134"/>
  <c r="R27" i="1134"/>
  <c r="R26" i="1134"/>
  <c r="R25" i="1134"/>
  <c r="R24" i="1134"/>
  <c r="R23" i="1134"/>
  <c r="R22" i="1134"/>
  <c r="R21" i="1134"/>
  <c r="R20" i="1134"/>
  <c r="R19" i="1134"/>
  <c r="R18" i="1134"/>
  <c r="R17" i="1134"/>
  <c r="R16" i="1134"/>
  <c r="R15" i="1134"/>
  <c r="R14" i="1134"/>
  <c r="R13" i="1134"/>
  <c r="R12" i="1134"/>
  <c r="R11" i="1134"/>
  <c r="R10" i="1134"/>
  <c r="R47" i="1134" l="1"/>
  <c r="K79" i="1133"/>
  <c r="K78" i="1133"/>
  <c r="K77" i="1133"/>
  <c r="K75" i="1133"/>
  <c r="K74" i="1133"/>
  <c r="K73" i="1133"/>
  <c r="K71" i="1133"/>
  <c r="K70" i="1133"/>
  <c r="K69" i="1133"/>
  <c r="K67" i="1133"/>
  <c r="K65" i="1133"/>
  <c r="F62" i="1133"/>
  <c r="F61" i="1133"/>
  <c r="K56" i="1133"/>
  <c r="K55" i="1133"/>
  <c r="K54" i="1133"/>
  <c r="K53" i="1133"/>
  <c r="K52" i="1133"/>
  <c r="F52" i="1133"/>
  <c r="K51" i="1133"/>
  <c r="F51" i="1133"/>
  <c r="K50" i="1133"/>
  <c r="F50" i="1133"/>
  <c r="K49" i="1133"/>
  <c r="F49" i="1133"/>
  <c r="K48" i="1133"/>
  <c r="F48" i="1133"/>
  <c r="Q47" i="1133"/>
  <c r="P47" i="1133"/>
  <c r="K47" i="1133"/>
  <c r="F47" i="1133"/>
  <c r="K46" i="1133"/>
  <c r="F46" i="1133"/>
  <c r="K45" i="1133"/>
  <c r="F45" i="1133"/>
  <c r="K44" i="1133"/>
  <c r="F44" i="1133"/>
  <c r="K43" i="1133"/>
  <c r="F43" i="1133"/>
  <c r="K42" i="1133"/>
  <c r="F42" i="1133"/>
  <c r="R29" i="1133"/>
  <c r="R28" i="1133"/>
  <c r="R27" i="1133"/>
  <c r="R26" i="1133"/>
  <c r="R25" i="1133"/>
  <c r="R24" i="1133"/>
  <c r="R23" i="1133"/>
  <c r="R22" i="1133"/>
  <c r="R21" i="1133"/>
  <c r="R20" i="1133"/>
  <c r="R19" i="1133"/>
  <c r="R18" i="1133"/>
  <c r="R17" i="1133"/>
  <c r="R16" i="1133"/>
  <c r="R15" i="1133"/>
  <c r="R14" i="1133"/>
  <c r="R13" i="1133"/>
  <c r="R12" i="1133"/>
  <c r="R11" i="1133"/>
  <c r="R10" i="1133"/>
  <c r="K79" i="1132"/>
  <c r="K78" i="1132"/>
  <c r="K77" i="1132"/>
  <c r="K75" i="1132"/>
  <c r="K74" i="1132"/>
  <c r="K73" i="1132"/>
  <c r="K71" i="1132"/>
  <c r="K70" i="1132"/>
  <c r="K69" i="1132"/>
  <c r="K67" i="1132"/>
  <c r="K65" i="1132"/>
  <c r="F62" i="1132"/>
  <c r="F61" i="1132"/>
  <c r="K56" i="1132"/>
  <c r="K55" i="1132"/>
  <c r="K54" i="1132"/>
  <c r="K53" i="1132"/>
  <c r="K52" i="1132"/>
  <c r="F52" i="1132"/>
  <c r="K51" i="1132"/>
  <c r="F51" i="1132"/>
  <c r="K50" i="1132"/>
  <c r="F50" i="1132"/>
  <c r="K49" i="1132"/>
  <c r="F49" i="1132"/>
  <c r="K48" i="1132"/>
  <c r="F48" i="1132"/>
  <c r="Q47" i="1132"/>
  <c r="P47" i="1132"/>
  <c r="K47" i="1132"/>
  <c r="F47" i="1132"/>
  <c r="K46" i="1132"/>
  <c r="F46" i="1132"/>
  <c r="K45" i="1132"/>
  <c r="F45" i="1132"/>
  <c r="K44" i="1132"/>
  <c r="F44" i="1132"/>
  <c r="K43" i="1132"/>
  <c r="F43" i="1132"/>
  <c r="K42" i="1132"/>
  <c r="F42" i="1132"/>
  <c r="R29" i="1132"/>
  <c r="R28" i="1132"/>
  <c r="R27" i="1132"/>
  <c r="R26" i="1132"/>
  <c r="R25" i="1132"/>
  <c r="R24" i="1132"/>
  <c r="R23" i="1132"/>
  <c r="R22" i="1132"/>
  <c r="R21" i="1132"/>
  <c r="R20" i="1132"/>
  <c r="R19" i="1132"/>
  <c r="R18" i="1132"/>
  <c r="R17" i="1132"/>
  <c r="R16" i="1132"/>
  <c r="R15" i="1132"/>
  <c r="R14" i="1132"/>
  <c r="R13" i="1132"/>
  <c r="R12" i="1132"/>
  <c r="R11" i="1132"/>
  <c r="R10" i="1132"/>
  <c r="K79" i="1131"/>
  <c r="K78" i="1131"/>
  <c r="K77" i="1131"/>
  <c r="K75" i="1131"/>
  <c r="K74" i="1131"/>
  <c r="K73" i="1131"/>
  <c r="K71" i="1131"/>
  <c r="K70" i="1131"/>
  <c r="K69" i="1131"/>
  <c r="K67" i="1131"/>
  <c r="K65" i="1131"/>
  <c r="F62" i="1131"/>
  <c r="F61" i="1131"/>
  <c r="K56" i="1131"/>
  <c r="K55" i="1131"/>
  <c r="K54" i="1131"/>
  <c r="K53" i="1131"/>
  <c r="K52" i="1131"/>
  <c r="F52" i="1131"/>
  <c r="K51" i="1131"/>
  <c r="F51" i="1131"/>
  <c r="K50" i="1131"/>
  <c r="F50" i="1131"/>
  <c r="K49" i="1131"/>
  <c r="F49" i="1131"/>
  <c r="K48" i="1131"/>
  <c r="F48" i="1131"/>
  <c r="Q47" i="1131"/>
  <c r="P47" i="1131"/>
  <c r="K47" i="1131"/>
  <c r="F47" i="1131"/>
  <c r="K46" i="1131"/>
  <c r="F46" i="1131"/>
  <c r="K45" i="1131"/>
  <c r="F45" i="1131"/>
  <c r="K44" i="1131"/>
  <c r="F44" i="1131"/>
  <c r="K43" i="1131"/>
  <c r="F43" i="1131"/>
  <c r="K42" i="1131"/>
  <c r="F42" i="1131"/>
  <c r="R29" i="1131"/>
  <c r="R28" i="1131"/>
  <c r="R27" i="1131"/>
  <c r="R26" i="1131"/>
  <c r="R25" i="1131"/>
  <c r="R24" i="1131"/>
  <c r="R23" i="1131"/>
  <c r="R22" i="1131"/>
  <c r="R21" i="1131"/>
  <c r="R20" i="1131"/>
  <c r="R19" i="1131"/>
  <c r="R18" i="1131"/>
  <c r="R17" i="1131"/>
  <c r="R16" i="1131"/>
  <c r="R15" i="1131"/>
  <c r="R14" i="1131"/>
  <c r="R13" i="1131"/>
  <c r="R12" i="1131"/>
  <c r="R11" i="1131"/>
  <c r="R10" i="1131"/>
  <c r="K79" i="1130"/>
  <c r="K78" i="1130"/>
  <c r="K77" i="1130"/>
  <c r="K75" i="1130"/>
  <c r="K74" i="1130"/>
  <c r="K73" i="1130"/>
  <c r="K71" i="1130"/>
  <c r="K70" i="1130"/>
  <c r="K69" i="1130"/>
  <c r="K67" i="1130"/>
  <c r="K65" i="1130"/>
  <c r="F62" i="1130"/>
  <c r="F61" i="1130"/>
  <c r="K56" i="1130"/>
  <c r="K55" i="1130"/>
  <c r="K54" i="1130"/>
  <c r="K53" i="1130"/>
  <c r="K52" i="1130"/>
  <c r="F52" i="1130"/>
  <c r="K51" i="1130"/>
  <c r="F51" i="1130"/>
  <c r="K50" i="1130"/>
  <c r="F50" i="1130"/>
  <c r="K49" i="1130"/>
  <c r="F49" i="1130"/>
  <c r="K48" i="1130"/>
  <c r="F48" i="1130"/>
  <c r="Q47" i="1130"/>
  <c r="P47" i="1130"/>
  <c r="K47" i="1130"/>
  <c r="F47" i="1130"/>
  <c r="K46" i="1130"/>
  <c r="F46" i="1130"/>
  <c r="K45" i="1130"/>
  <c r="F45" i="1130"/>
  <c r="K44" i="1130"/>
  <c r="F44" i="1130"/>
  <c r="K43" i="1130"/>
  <c r="F43" i="1130"/>
  <c r="K42" i="1130"/>
  <c r="F42" i="1130"/>
  <c r="R29" i="1130"/>
  <c r="R28" i="1130"/>
  <c r="R27" i="1130"/>
  <c r="R26" i="1130"/>
  <c r="R25" i="1130"/>
  <c r="R24" i="1130"/>
  <c r="R23" i="1130"/>
  <c r="R22" i="1130"/>
  <c r="R21" i="1130"/>
  <c r="R20" i="1130"/>
  <c r="R19" i="1130"/>
  <c r="R18" i="1130"/>
  <c r="R17" i="1130"/>
  <c r="R16" i="1130"/>
  <c r="R15" i="1130"/>
  <c r="R14" i="1130"/>
  <c r="R13" i="1130"/>
  <c r="R12" i="1130"/>
  <c r="R11" i="1130"/>
  <c r="R10" i="1130"/>
  <c r="R47" i="1133" l="1"/>
  <c r="R47" i="1132"/>
  <c r="R47" i="1131"/>
  <c r="R47" i="1130"/>
  <c r="K79" i="1129"/>
  <c r="K78" i="1129"/>
  <c r="K77" i="1129"/>
  <c r="K75" i="1129"/>
  <c r="K74" i="1129"/>
  <c r="K73" i="1129"/>
  <c r="K71" i="1129"/>
  <c r="K70" i="1129"/>
  <c r="K69" i="1129"/>
  <c r="K67" i="1129"/>
  <c r="K65" i="1129"/>
  <c r="F62" i="1129"/>
  <c r="F61" i="1129"/>
  <c r="K56" i="1129"/>
  <c r="K55" i="1129"/>
  <c r="K54" i="1129"/>
  <c r="K53" i="1129"/>
  <c r="K52" i="1129"/>
  <c r="F52" i="1129"/>
  <c r="K51" i="1129"/>
  <c r="F51" i="1129"/>
  <c r="K50" i="1129"/>
  <c r="F50" i="1129"/>
  <c r="K49" i="1129"/>
  <c r="F49" i="1129"/>
  <c r="K48" i="1129"/>
  <c r="F48" i="1129"/>
  <c r="Q47" i="1129"/>
  <c r="P47" i="1129"/>
  <c r="K47" i="1129"/>
  <c r="F47" i="1129"/>
  <c r="K46" i="1129"/>
  <c r="F46" i="1129"/>
  <c r="K45" i="1129"/>
  <c r="F45" i="1129"/>
  <c r="K44" i="1129"/>
  <c r="F44" i="1129"/>
  <c r="K43" i="1129"/>
  <c r="F43" i="1129"/>
  <c r="K42" i="1129"/>
  <c r="F42" i="1129"/>
  <c r="R29" i="1129"/>
  <c r="R28" i="1129"/>
  <c r="R27" i="1129"/>
  <c r="R26" i="1129"/>
  <c r="R25" i="1129"/>
  <c r="R24" i="1129"/>
  <c r="R23" i="1129"/>
  <c r="R22" i="1129"/>
  <c r="R21" i="1129"/>
  <c r="R20" i="1129"/>
  <c r="R19" i="1129"/>
  <c r="R18" i="1129"/>
  <c r="R17" i="1129"/>
  <c r="R16" i="1129"/>
  <c r="R15" i="1129"/>
  <c r="R14" i="1129"/>
  <c r="R13" i="1129"/>
  <c r="R12" i="1129"/>
  <c r="R11" i="1129"/>
  <c r="R10" i="1129"/>
  <c r="R47" i="1129" l="1"/>
  <c r="K79" i="1128"/>
  <c r="K78" i="1128"/>
  <c r="K77" i="1128"/>
  <c r="K75" i="1128"/>
  <c r="K74" i="1128"/>
  <c r="K73" i="1128"/>
  <c r="K71" i="1128"/>
  <c r="K70" i="1128"/>
  <c r="K69" i="1128"/>
  <c r="K67" i="1128"/>
  <c r="K65" i="1128"/>
  <c r="F62" i="1128"/>
  <c r="F61" i="1128"/>
  <c r="K56" i="1128"/>
  <c r="K55" i="1128"/>
  <c r="K54" i="1128"/>
  <c r="K53" i="1128"/>
  <c r="K52" i="1128"/>
  <c r="F52" i="1128"/>
  <c r="K51" i="1128"/>
  <c r="F51" i="1128"/>
  <c r="K50" i="1128"/>
  <c r="F50" i="1128"/>
  <c r="K49" i="1128"/>
  <c r="F49" i="1128"/>
  <c r="K48" i="1128"/>
  <c r="F48" i="1128"/>
  <c r="Q47" i="1128"/>
  <c r="P47" i="1128"/>
  <c r="K47" i="1128"/>
  <c r="F47" i="1128"/>
  <c r="K46" i="1128"/>
  <c r="F46" i="1128"/>
  <c r="K45" i="1128"/>
  <c r="F45" i="1128"/>
  <c r="K44" i="1128"/>
  <c r="F44" i="1128"/>
  <c r="K43" i="1128"/>
  <c r="F43" i="1128"/>
  <c r="K42" i="1128"/>
  <c r="F42" i="1128"/>
  <c r="R29" i="1128"/>
  <c r="R28" i="1128"/>
  <c r="R27" i="1128"/>
  <c r="R26" i="1128"/>
  <c r="R25" i="1128"/>
  <c r="R24" i="1128"/>
  <c r="R23" i="1128"/>
  <c r="R22" i="1128"/>
  <c r="R21" i="1128"/>
  <c r="R20" i="1128"/>
  <c r="R19" i="1128"/>
  <c r="R18" i="1128"/>
  <c r="R17" i="1128"/>
  <c r="R16" i="1128"/>
  <c r="R15" i="1128"/>
  <c r="R14" i="1128"/>
  <c r="R13" i="1128"/>
  <c r="R12" i="1128"/>
  <c r="R11" i="1128"/>
  <c r="R10" i="1128"/>
  <c r="K79" i="1127"/>
  <c r="K78" i="1127"/>
  <c r="K77" i="1127"/>
  <c r="K75" i="1127"/>
  <c r="K74" i="1127"/>
  <c r="K73" i="1127"/>
  <c r="K71" i="1127"/>
  <c r="K70" i="1127"/>
  <c r="K69" i="1127"/>
  <c r="K67" i="1127"/>
  <c r="K65" i="1127"/>
  <c r="F62" i="1127"/>
  <c r="F61" i="1127"/>
  <c r="K56" i="1127"/>
  <c r="K55" i="1127"/>
  <c r="K54" i="1127"/>
  <c r="K53" i="1127"/>
  <c r="K52" i="1127"/>
  <c r="F52" i="1127"/>
  <c r="K51" i="1127"/>
  <c r="F51" i="1127"/>
  <c r="K50" i="1127"/>
  <c r="F50" i="1127"/>
  <c r="K49" i="1127"/>
  <c r="F49" i="1127"/>
  <c r="K48" i="1127"/>
  <c r="F48" i="1127"/>
  <c r="Q47" i="1127"/>
  <c r="P47" i="1127"/>
  <c r="K47" i="1127"/>
  <c r="F47" i="1127"/>
  <c r="K46" i="1127"/>
  <c r="F46" i="1127"/>
  <c r="K45" i="1127"/>
  <c r="F45" i="1127"/>
  <c r="K44" i="1127"/>
  <c r="F44" i="1127"/>
  <c r="K43" i="1127"/>
  <c r="F43" i="1127"/>
  <c r="K42" i="1127"/>
  <c r="F42" i="1127"/>
  <c r="R29" i="1127"/>
  <c r="R28" i="1127"/>
  <c r="R27" i="1127"/>
  <c r="R26" i="1127"/>
  <c r="R25" i="1127"/>
  <c r="R24" i="1127"/>
  <c r="R23" i="1127"/>
  <c r="R22" i="1127"/>
  <c r="R21" i="1127"/>
  <c r="R20" i="1127"/>
  <c r="R19" i="1127"/>
  <c r="R18" i="1127"/>
  <c r="R17" i="1127"/>
  <c r="R16" i="1127"/>
  <c r="R15" i="1127"/>
  <c r="R14" i="1127"/>
  <c r="R13" i="1127"/>
  <c r="R12" i="1127"/>
  <c r="R11" i="1127"/>
  <c r="R10" i="1127"/>
  <c r="K79" i="1126"/>
  <c r="K78" i="1126"/>
  <c r="K77" i="1126"/>
  <c r="K75" i="1126"/>
  <c r="K74" i="1126"/>
  <c r="K73" i="1126"/>
  <c r="K71" i="1126"/>
  <c r="K70" i="1126"/>
  <c r="K69" i="1126"/>
  <c r="K67" i="1126"/>
  <c r="K65" i="1126"/>
  <c r="F62" i="1126"/>
  <c r="F61" i="1126"/>
  <c r="K56" i="1126"/>
  <c r="K55" i="1126"/>
  <c r="K54" i="1126"/>
  <c r="K53" i="1126"/>
  <c r="K52" i="1126"/>
  <c r="F52" i="1126"/>
  <c r="K51" i="1126"/>
  <c r="F51" i="1126"/>
  <c r="K50" i="1126"/>
  <c r="F50" i="1126"/>
  <c r="K49" i="1126"/>
  <c r="F49" i="1126"/>
  <c r="K48" i="1126"/>
  <c r="F48" i="1126"/>
  <c r="Q47" i="1126"/>
  <c r="P47" i="1126"/>
  <c r="K47" i="1126"/>
  <c r="F47" i="1126"/>
  <c r="K46" i="1126"/>
  <c r="F46" i="1126"/>
  <c r="K45" i="1126"/>
  <c r="F45" i="1126"/>
  <c r="K44" i="1126"/>
  <c r="F44" i="1126"/>
  <c r="K43" i="1126"/>
  <c r="F43" i="1126"/>
  <c r="K42" i="1126"/>
  <c r="F42" i="1126"/>
  <c r="R29" i="1126"/>
  <c r="R28" i="1126"/>
  <c r="R27" i="1126"/>
  <c r="R26" i="1126"/>
  <c r="R25" i="1126"/>
  <c r="R24" i="1126"/>
  <c r="R23" i="1126"/>
  <c r="R22" i="1126"/>
  <c r="R21" i="1126"/>
  <c r="R20" i="1126"/>
  <c r="R19" i="1126"/>
  <c r="R18" i="1126"/>
  <c r="R17" i="1126"/>
  <c r="R16" i="1126"/>
  <c r="R15" i="1126"/>
  <c r="R14" i="1126"/>
  <c r="R13" i="1126"/>
  <c r="R12" i="1126"/>
  <c r="R11" i="1126"/>
  <c r="R10" i="1126"/>
  <c r="K79" i="1125"/>
  <c r="K78" i="1125"/>
  <c r="K77" i="1125"/>
  <c r="K75" i="1125"/>
  <c r="K74" i="1125"/>
  <c r="K73" i="1125"/>
  <c r="K71" i="1125"/>
  <c r="K70" i="1125"/>
  <c r="K69" i="1125"/>
  <c r="K67" i="1125"/>
  <c r="K65" i="1125"/>
  <c r="F62" i="1125"/>
  <c r="F61" i="1125"/>
  <c r="K56" i="1125"/>
  <c r="K55" i="1125"/>
  <c r="K54" i="1125"/>
  <c r="K53" i="1125"/>
  <c r="K52" i="1125"/>
  <c r="F52" i="1125"/>
  <c r="K51" i="1125"/>
  <c r="F51" i="1125"/>
  <c r="K50" i="1125"/>
  <c r="F50" i="1125"/>
  <c r="K49" i="1125"/>
  <c r="F49" i="1125"/>
  <c r="K48" i="1125"/>
  <c r="F48" i="1125"/>
  <c r="Q47" i="1125"/>
  <c r="P47" i="1125"/>
  <c r="K47" i="1125"/>
  <c r="F47" i="1125"/>
  <c r="K46" i="1125"/>
  <c r="F46" i="1125"/>
  <c r="K45" i="1125"/>
  <c r="F45" i="1125"/>
  <c r="K44" i="1125"/>
  <c r="F44" i="1125"/>
  <c r="K43" i="1125"/>
  <c r="F43" i="1125"/>
  <c r="K42" i="1125"/>
  <c r="F42" i="1125"/>
  <c r="R29" i="1125"/>
  <c r="R28" i="1125"/>
  <c r="R27" i="1125"/>
  <c r="R26" i="1125"/>
  <c r="R25" i="1125"/>
  <c r="R24" i="1125"/>
  <c r="R23" i="1125"/>
  <c r="R22" i="1125"/>
  <c r="R21" i="1125"/>
  <c r="R20" i="1125"/>
  <c r="R19" i="1125"/>
  <c r="R18" i="1125"/>
  <c r="R17" i="1125"/>
  <c r="R16" i="1125"/>
  <c r="R15" i="1125"/>
  <c r="R14" i="1125"/>
  <c r="R13" i="1125"/>
  <c r="R12" i="1125"/>
  <c r="R11" i="1125"/>
  <c r="R10" i="1125"/>
  <c r="R47" i="1128" l="1"/>
  <c r="R47" i="1127"/>
  <c r="R47" i="1126"/>
  <c r="R47" i="1125"/>
  <c r="K52" i="1124"/>
  <c r="K79" i="1124"/>
  <c r="K78" i="1124"/>
  <c r="K77" i="1124"/>
  <c r="K75" i="1124"/>
  <c r="K74" i="1124"/>
  <c r="K73" i="1124"/>
  <c r="K71" i="1124"/>
  <c r="K70" i="1124"/>
  <c r="K69" i="1124"/>
  <c r="K67" i="1124"/>
  <c r="K65" i="1124"/>
  <c r="F62" i="1124"/>
  <c r="F61" i="1124"/>
  <c r="K56" i="1124"/>
  <c r="K55" i="1124"/>
  <c r="K54" i="1124"/>
  <c r="K53" i="1124"/>
  <c r="F52" i="1124"/>
  <c r="K51" i="1124"/>
  <c r="F51" i="1124"/>
  <c r="K50" i="1124"/>
  <c r="F50" i="1124"/>
  <c r="K49" i="1124"/>
  <c r="F49" i="1124"/>
  <c r="K48" i="1124"/>
  <c r="F48" i="1124"/>
  <c r="Q47" i="1124"/>
  <c r="P47" i="1124"/>
  <c r="K47" i="1124"/>
  <c r="F47" i="1124"/>
  <c r="K46" i="1124"/>
  <c r="F46" i="1124"/>
  <c r="K45" i="1124"/>
  <c r="F45" i="1124"/>
  <c r="K44" i="1124"/>
  <c r="F44" i="1124"/>
  <c r="K43" i="1124"/>
  <c r="F43" i="1124"/>
  <c r="K42" i="1124"/>
  <c r="F42" i="1124"/>
  <c r="R29" i="1124"/>
  <c r="R28" i="1124"/>
  <c r="R27" i="1124"/>
  <c r="R26" i="1124"/>
  <c r="R25" i="1124"/>
  <c r="R24" i="1124"/>
  <c r="R23" i="1124"/>
  <c r="R22" i="1124"/>
  <c r="R21" i="1124"/>
  <c r="R20" i="1124"/>
  <c r="R19" i="1124"/>
  <c r="R18" i="1124"/>
  <c r="R17" i="1124"/>
  <c r="R16" i="1124"/>
  <c r="R15" i="1124"/>
  <c r="R14" i="1124"/>
  <c r="R13" i="1124"/>
  <c r="R12" i="1124"/>
  <c r="R11" i="1124"/>
  <c r="R10" i="1124"/>
  <c r="K78" i="1123"/>
  <c r="K77" i="1123"/>
  <c r="K75" i="1123"/>
  <c r="K74" i="1123"/>
  <c r="K73" i="1123"/>
  <c r="K71" i="1123"/>
  <c r="K70" i="1123"/>
  <c r="K69" i="1123"/>
  <c r="K67" i="1123"/>
  <c r="K65" i="1123"/>
  <c r="F62" i="1123"/>
  <c r="F61" i="1123"/>
  <c r="K56" i="1123"/>
  <c r="K55" i="1123"/>
  <c r="K54" i="1123"/>
  <c r="K53" i="1123"/>
  <c r="K52" i="1123"/>
  <c r="F52" i="1123"/>
  <c r="K51" i="1123"/>
  <c r="F51" i="1123"/>
  <c r="K50" i="1123"/>
  <c r="F50" i="1123"/>
  <c r="K49" i="1123"/>
  <c r="F49" i="1123"/>
  <c r="K48" i="1123"/>
  <c r="F48" i="1123"/>
  <c r="Q47" i="1123"/>
  <c r="P47" i="1123"/>
  <c r="K47" i="1123"/>
  <c r="F47" i="1123"/>
  <c r="K46" i="1123"/>
  <c r="F46" i="1123"/>
  <c r="K45" i="1123"/>
  <c r="F45" i="1123"/>
  <c r="K44" i="1123"/>
  <c r="F44" i="1123"/>
  <c r="K43" i="1123"/>
  <c r="F43" i="1123"/>
  <c r="K42" i="1123"/>
  <c r="F42" i="1123"/>
  <c r="R29" i="1123"/>
  <c r="R28" i="1123"/>
  <c r="R27" i="1123"/>
  <c r="R26" i="1123"/>
  <c r="R25" i="1123"/>
  <c r="R24" i="1123"/>
  <c r="R23" i="1123"/>
  <c r="R22" i="1123"/>
  <c r="R21" i="1123"/>
  <c r="R20" i="1123"/>
  <c r="R19" i="1123"/>
  <c r="R18" i="1123"/>
  <c r="R17" i="1123"/>
  <c r="R16" i="1123"/>
  <c r="R15" i="1123"/>
  <c r="R14" i="1123"/>
  <c r="R13" i="1123"/>
  <c r="R12" i="1123"/>
  <c r="R11" i="1123"/>
  <c r="R10" i="1123"/>
  <c r="K78" i="1122"/>
  <c r="K77" i="1122"/>
  <c r="K75" i="1122"/>
  <c r="K74" i="1122"/>
  <c r="K73" i="1122"/>
  <c r="K71" i="1122"/>
  <c r="K70" i="1122"/>
  <c r="K69" i="1122"/>
  <c r="K67" i="1122"/>
  <c r="K65" i="1122"/>
  <c r="F62" i="1122"/>
  <c r="F61" i="1122"/>
  <c r="K56" i="1122"/>
  <c r="K55" i="1122"/>
  <c r="K54" i="1122"/>
  <c r="K53" i="1122"/>
  <c r="K52" i="1122"/>
  <c r="F52" i="1122"/>
  <c r="K51" i="1122"/>
  <c r="F51" i="1122"/>
  <c r="K50" i="1122"/>
  <c r="F50" i="1122"/>
  <c r="K49" i="1122"/>
  <c r="F49" i="1122"/>
  <c r="K48" i="1122"/>
  <c r="F48" i="1122"/>
  <c r="Q47" i="1122"/>
  <c r="P47" i="1122"/>
  <c r="K47" i="1122"/>
  <c r="F47" i="1122"/>
  <c r="K46" i="1122"/>
  <c r="F46" i="1122"/>
  <c r="K45" i="1122"/>
  <c r="F45" i="1122"/>
  <c r="K44" i="1122"/>
  <c r="F44" i="1122"/>
  <c r="K43" i="1122"/>
  <c r="F43" i="1122"/>
  <c r="K42" i="1122"/>
  <c r="F42" i="1122"/>
  <c r="R29" i="1122"/>
  <c r="R28" i="1122"/>
  <c r="R27" i="1122"/>
  <c r="R26" i="1122"/>
  <c r="R25" i="1122"/>
  <c r="R24" i="1122"/>
  <c r="R23" i="1122"/>
  <c r="R22" i="1122"/>
  <c r="R21" i="1122"/>
  <c r="R20" i="1122"/>
  <c r="R19" i="1122"/>
  <c r="R18" i="1122"/>
  <c r="R17" i="1122"/>
  <c r="R16" i="1122"/>
  <c r="R15" i="1122"/>
  <c r="R14" i="1122"/>
  <c r="R13" i="1122"/>
  <c r="R12" i="1122"/>
  <c r="R11" i="1122"/>
  <c r="R10" i="1122"/>
  <c r="K78" i="1121"/>
  <c r="K77" i="1121"/>
  <c r="K75" i="1121"/>
  <c r="K74" i="1121"/>
  <c r="K73" i="1121"/>
  <c r="K71" i="1121"/>
  <c r="K70" i="1121"/>
  <c r="K69" i="1121"/>
  <c r="K67" i="1121"/>
  <c r="K65" i="1121"/>
  <c r="F62" i="1121"/>
  <c r="F61" i="1121"/>
  <c r="K56" i="1121"/>
  <c r="K55" i="1121"/>
  <c r="K54" i="1121"/>
  <c r="K53" i="1121"/>
  <c r="K52" i="1121"/>
  <c r="F52" i="1121"/>
  <c r="K51" i="1121"/>
  <c r="F51" i="1121"/>
  <c r="K50" i="1121"/>
  <c r="F50" i="1121"/>
  <c r="K49" i="1121"/>
  <c r="F49" i="1121"/>
  <c r="K48" i="1121"/>
  <c r="F48" i="1121"/>
  <c r="Q47" i="1121"/>
  <c r="P47" i="1121"/>
  <c r="K47" i="1121"/>
  <c r="F47" i="1121"/>
  <c r="K46" i="1121"/>
  <c r="F46" i="1121"/>
  <c r="K45" i="1121"/>
  <c r="F45" i="1121"/>
  <c r="K44" i="1121"/>
  <c r="F44" i="1121"/>
  <c r="K43" i="1121"/>
  <c r="F43" i="1121"/>
  <c r="K42" i="1121"/>
  <c r="F42" i="1121"/>
  <c r="R29" i="1121"/>
  <c r="R28" i="1121"/>
  <c r="R27" i="1121"/>
  <c r="R26" i="1121"/>
  <c r="R25" i="1121"/>
  <c r="R24" i="1121"/>
  <c r="R23" i="1121"/>
  <c r="R22" i="1121"/>
  <c r="R21" i="1121"/>
  <c r="R20" i="1121"/>
  <c r="R19" i="1121"/>
  <c r="R18" i="1121"/>
  <c r="R17" i="1121"/>
  <c r="R16" i="1121"/>
  <c r="R15" i="1121"/>
  <c r="R14" i="1121"/>
  <c r="R13" i="1121"/>
  <c r="R12" i="1121"/>
  <c r="R11" i="1121"/>
  <c r="R10" i="1121"/>
  <c r="K78" i="1120"/>
  <c r="K77" i="1120"/>
  <c r="K75" i="1120"/>
  <c r="K74" i="1120"/>
  <c r="K73" i="1120"/>
  <c r="K71" i="1120"/>
  <c r="K70" i="1120"/>
  <c r="K69" i="1120"/>
  <c r="K67" i="1120"/>
  <c r="K65" i="1120"/>
  <c r="F62" i="1120"/>
  <c r="F61" i="1120"/>
  <c r="K56" i="1120"/>
  <c r="K55" i="1120"/>
  <c r="K54" i="1120"/>
  <c r="K53" i="1120"/>
  <c r="K52" i="1120"/>
  <c r="F52" i="1120"/>
  <c r="K51" i="1120"/>
  <c r="F51" i="1120"/>
  <c r="K50" i="1120"/>
  <c r="F50" i="1120"/>
  <c r="K49" i="1120"/>
  <c r="F49" i="1120"/>
  <c r="K48" i="1120"/>
  <c r="F48" i="1120"/>
  <c r="Q47" i="1120"/>
  <c r="P47" i="1120"/>
  <c r="K47" i="1120"/>
  <c r="F47" i="1120"/>
  <c r="K46" i="1120"/>
  <c r="F46" i="1120"/>
  <c r="K45" i="1120"/>
  <c r="F45" i="1120"/>
  <c r="K44" i="1120"/>
  <c r="F44" i="1120"/>
  <c r="K43" i="1120"/>
  <c r="F43" i="1120"/>
  <c r="K42" i="1120"/>
  <c r="F42" i="1120"/>
  <c r="R29" i="1120"/>
  <c r="R28" i="1120"/>
  <c r="R27" i="1120"/>
  <c r="R26" i="1120"/>
  <c r="R25" i="1120"/>
  <c r="R24" i="1120"/>
  <c r="R23" i="1120"/>
  <c r="R22" i="1120"/>
  <c r="R21" i="1120"/>
  <c r="R20" i="1120"/>
  <c r="R19" i="1120"/>
  <c r="R18" i="1120"/>
  <c r="R17" i="1120"/>
  <c r="R16" i="1120"/>
  <c r="R15" i="1120"/>
  <c r="R14" i="1120"/>
  <c r="R13" i="1120"/>
  <c r="R12" i="1120"/>
  <c r="R11" i="1120"/>
  <c r="R10" i="1120"/>
  <c r="R29" i="1119"/>
  <c r="R29" i="1118"/>
  <c r="R47" i="1124" l="1"/>
  <c r="R47" i="1123"/>
  <c r="R47" i="1122"/>
  <c r="R47" i="1121"/>
  <c r="R47" i="1120"/>
  <c r="K78" i="1119"/>
  <c r="K77" i="1119"/>
  <c r="K75" i="1119"/>
  <c r="K74" i="1119"/>
  <c r="K73" i="1119"/>
  <c r="K71" i="1119"/>
  <c r="K70" i="1119"/>
  <c r="K69" i="1119"/>
  <c r="K67" i="1119"/>
  <c r="K65" i="1119"/>
  <c r="F62" i="1119"/>
  <c r="F61" i="1119"/>
  <c r="K56" i="1119"/>
  <c r="K55" i="1119"/>
  <c r="K54" i="1119"/>
  <c r="K53" i="1119"/>
  <c r="K52" i="1119"/>
  <c r="F52" i="1119"/>
  <c r="K51" i="1119"/>
  <c r="F51" i="1119"/>
  <c r="K50" i="1119"/>
  <c r="F50" i="1119"/>
  <c r="K49" i="1119"/>
  <c r="F49" i="1119"/>
  <c r="K48" i="1119"/>
  <c r="F48" i="1119"/>
  <c r="Q47" i="1119"/>
  <c r="P47" i="1119"/>
  <c r="K47" i="1119"/>
  <c r="F47" i="1119"/>
  <c r="K46" i="1119"/>
  <c r="F46" i="1119"/>
  <c r="K45" i="1119"/>
  <c r="F45" i="1119"/>
  <c r="K44" i="1119"/>
  <c r="F44" i="1119"/>
  <c r="K43" i="1119"/>
  <c r="F43" i="1119"/>
  <c r="K42" i="1119"/>
  <c r="F42" i="1119"/>
  <c r="R28" i="1119"/>
  <c r="R27" i="1119"/>
  <c r="R26" i="1119"/>
  <c r="R25" i="1119"/>
  <c r="R24" i="1119"/>
  <c r="R23" i="1119"/>
  <c r="R22" i="1119"/>
  <c r="R21" i="1119"/>
  <c r="R20" i="1119"/>
  <c r="R19" i="1119"/>
  <c r="R18" i="1119"/>
  <c r="R17" i="1119"/>
  <c r="R16" i="1119"/>
  <c r="R15" i="1119"/>
  <c r="R14" i="1119"/>
  <c r="R13" i="1119"/>
  <c r="R12" i="1119"/>
  <c r="R11" i="1119"/>
  <c r="R10" i="1119"/>
  <c r="K78" i="1118"/>
  <c r="K77" i="1118"/>
  <c r="K75" i="1118"/>
  <c r="K74" i="1118"/>
  <c r="K73" i="1118"/>
  <c r="K71" i="1118"/>
  <c r="K70" i="1118"/>
  <c r="K69" i="1118"/>
  <c r="K67" i="1118"/>
  <c r="K65" i="1118"/>
  <c r="F62" i="1118"/>
  <c r="F61" i="1118"/>
  <c r="K56" i="1118"/>
  <c r="K55" i="1118"/>
  <c r="K54" i="1118"/>
  <c r="K53" i="1118"/>
  <c r="K52" i="1118"/>
  <c r="F52" i="1118"/>
  <c r="K51" i="1118"/>
  <c r="F51" i="1118"/>
  <c r="K50" i="1118"/>
  <c r="F50" i="1118"/>
  <c r="K49" i="1118"/>
  <c r="F49" i="1118"/>
  <c r="K48" i="1118"/>
  <c r="F48" i="1118"/>
  <c r="Q47" i="1118"/>
  <c r="P47" i="1118"/>
  <c r="K47" i="1118"/>
  <c r="F47" i="1118"/>
  <c r="K46" i="1118"/>
  <c r="F46" i="1118"/>
  <c r="K45" i="1118"/>
  <c r="F45" i="1118"/>
  <c r="K44" i="1118"/>
  <c r="F44" i="1118"/>
  <c r="K43" i="1118"/>
  <c r="F43" i="1118"/>
  <c r="K42" i="1118"/>
  <c r="F42" i="1118"/>
  <c r="R28" i="1118"/>
  <c r="R27" i="1118"/>
  <c r="R26" i="1118"/>
  <c r="R25" i="1118"/>
  <c r="R24" i="1118"/>
  <c r="R23" i="1118"/>
  <c r="R22" i="1118"/>
  <c r="R21" i="1118"/>
  <c r="R20" i="1118"/>
  <c r="R19" i="1118"/>
  <c r="R18" i="1118"/>
  <c r="R17" i="1118"/>
  <c r="R16" i="1118"/>
  <c r="R15" i="1118"/>
  <c r="R14" i="1118"/>
  <c r="R13" i="1118"/>
  <c r="R12" i="1118"/>
  <c r="R11" i="1118"/>
  <c r="R10" i="1118"/>
  <c r="K78" i="1117"/>
  <c r="K77" i="1117"/>
  <c r="K75" i="1117"/>
  <c r="K74" i="1117"/>
  <c r="K73" i="1117"/>
  <c r="K71" i="1117"/>
  <c r="K70" i="1117"/>
  <c r="K69" i="1117"/>
  <c r="K67" i="1117"/>
  <c r="K65" i="1117"/>
  <c r="F62" i="1117"/>
  <c r="F61" i="1117"/>
  <c r="K56" i="1117"/>
  <c r="K55" i="1117"/>
  <c r="K54" i="1117"/>
  <c r="K53" i="1117"/>
  <c r="K52" i="1117"/>
  <c r="F52" i="1117"/>
  <c r="K51" i="1117"/>
  <c r="F51" i="1117"/>
  <c r="K50" i="1117"/>
  <c r="F50" i="1117"/>
  <c r="K49" i="1117"/>
  <c r="F49" i="1117"/>
  <c r="K48" i="1117"/>
  <c r="F48" i="1117"/>
  <c r="Q47" i="1117"/>
  <c r="P47" i="1117"/>
  <c r="K47" i="1117"/>
  <c r="F47" i="1117"/>
  <c r="K46" i="1117"/>
  <c r="F46" i="1117"/>
  <c r="K45" i="1117"/>
  <c r="F45" i="1117"/>
  <c r="K44" i="1117"/>
  <c r="F44" i="1117"/>
  <c r="K43" i="1117"/>
  <c r="F43" i="1117"/>
  <c r="K42" i="1117"/>
  <c r="F42" i="1117"/>
  <c r="R28" i="1117"/>
  <c r="R27" i="1117"/>
  <c r="R26" i="1117"/>
  <c r="R25" i="1117"/>
  <c r="R24" i="1117"/>
  <c r="R23" i="1117"/>
  <c r="R22" i="1117"/>
  <c r="R21" i="1117"/>
  <c r="R20" i="1117"/>
  <c r="R19" i="1117"/>
  <c r="R18" i="1117"/>
  <c r="R17" i="1117"/>
  <c r="R16" i="1117"/>
  <c r="R15" i="1117"/>
  <c r="R14" i="1117"/>
  <c r="R13" i="1117"/>
  <c r="R12" i="1117"/>
  <c r="R11" i="1117"/>
  <c r="R10" i="1117"/>
  <c r="K78" i="1116"/>
  <c r="K77" i="1116"/>
  <c r="K75" i="1116"/>
  <c r="K74" i="1116"/>
  <c r="K73" i="1116"/>
  <c r="K71" i="1116"/>
  <c r="K70" i="1116"/>
  <c r="K69" i="1116"/>
  <c r="K67" i="1116"/>
  <c r="K65" i="1116"/>
  <c r="F62" i="1116"/>
  <c r="F61" i="1116"/>
  <c r="K56" i="1116"/>
  <c r="K55" i="1116"/>
  <c r="K54" i="1116"/>
  <c r="K53" i="1116"/>
  <c r="K52" i="1116"/>
  <c r="F52" i="1116"/>
  <c r="K51" i="1116"/>
  <c r="F51" i="1116"/>
  <c r="K50" i="1116"/>
  <c r="F50" i="1116"/>
  <c r="K49" i="1116"/>
  <c r="F49" i="1116"/>
  <c r="K48" i="1116"/>
  <c r="F48" i="1116"/>
  <c r="Q47" i="1116"/>
  <c r="P47" i="1116"/>
  <c r="K47" i="1116"/>
  <c r="F47" i="1116"/>
  <c r="K46" i="1116"/>
  <c r="F46" i="1116"/>
  <c r="K45" i="1116"/>
  <c r="F45" i="1116"/>
  <c r="K44" i="1116"/>
  <c r="F44" i="1116"/>
  <c r="K43" i="1116"/>
  <c r="F43" i="1116"/>
  <c r="K42" i="1116"/>
  <c r="F42" i="1116"/>
  <c r="R28" i="1116"/>
  <c r="R27" i="1116"/>
  <c r="R26" i="1116"/>
  <c r="R25" i="1116"/>
  <c r="R24" i="1116"/>
  <c r="R23" i="1116"/>
  <c r="R22" i="1116"/>
  <c r="R21" i="1116"/>
  <c r="R20" i="1116"/>
  <c r="R19" i="1116"/>
  <c r="R18" i="1116"/>
  <c r="R17" i="1116"/>
  <c r="R16" i="1116"/>
  <c r="R15" i="1116"/>
  <c r="R14" i="1116"/>
  <c r="R13" i="1116"/>
  <c r="R12" i="1116"/>
  <c r="R11" i="1116"/>
  <c r="R10" i="1116"/>
  <c r="K78" i="1115"/>
  <c r="K77" i="1115"/>
  <c r="K75" i="1115"/>
  <c r="K74" i="1115"/>
  <c r="K73" i="1115"/>
  <c r="K71" i="1115"/>
  <c r="K70" i="1115"/>
  <c r="K69" i="1115"/>
  <c r="K67" i="1115"/>
  <c r="K65" i="1115"/>
  <c r="F62" i="1115"/>
  <c r="F61" i="1115"/>
  <c r="K56" i="1115"/>
  <c r="K55" i="1115"/>
  <c r="K54" i="1115"/>
  <c r="K53" i="1115"/>
  <c r="K52" i="1115"/>
  <c r="F52" i="1115"/>
  <c r="K51" i="1115"/>
  <c r="F51" i="1115"/>
  <c r="K50" i="1115"/>
  <c r="F50" i="1115"/>
  <c r="K49" i="1115"/>
  <c r="F49" i="1115"/>
  <c r="K48" i="1115"/>
  <c r="F48" i="1115"/>
  <c r="Q47" i="1115"/>
  <c r="P47" i="1115"/>
  <c r="K47" i="1115"/>
  <c r="F47" i="1115"/>
  <c r="K46" i="1115"/>
  <c r="F46" i="1115"/>
  <c r="K45" i="1115"/>
  <c r="F45" i="1115"/>
  <c r="K44" i="1115"/>
  <c r="F44" i="1115"/>
  <c r="K43" i="1115"/>
  <c r="F43" i="1115"/>
  <c r="K42" i="1115"/>
  <c r="F42" i="1115"/>
  <c r="R28" i="1115"/>
  <c r="R27" i="1115"/>
  <c r="R26" i="1115"/>
  <c r="R25" i="1115"/>
  <c r="R24" i="1115"/>
  <c r="R23" i="1115"/>
  <c r="R22" i="1115"/>
  <c r="R21" i="1115"/>
  <c r="R20" i="1115"/>
  <c r="R19" i="1115"/>
  <c r="R18" i="1115"/>
  <c r="R17" i="1115"/>
  <c r="R16" i="1115"/>
  <c r="R15" i="1115"/>
  <c r="R14" i="1115"/>
  <c r="R13" i="1115"/>
  <c r="R12" i="1115"/>
  <c r="R11" i="1115"/>
  <c r="R10" i="1115"/>
  <c r="K78" i="1114"/>
  <c r="K77" i="1114"/>
  <c r="K75" i="1114"/>
  <c r="K74" i="1114"/>
  <c r="K73" i="1114"/>
  <c r="K71" i="1114"/>
  <c r="K70" i="1114"/>
  <c r="K69" i="1114"/>
  <c r="K67" i="1114"/>
  <c r="K65" i="1114"/>
  <c r="F62" i="1114"/>
  <c r="F61" i="1114"/>
  <c r="K56" i="1114"/>
  <c r="K55" i="1114"/>
  <c r="K54" i="1114"/>
  <c r="K53" i="1114"/>
  <c r="K52" i="1114"/>
  <c r="F52" i="1114"/>
  <c r="K51" i="1114"/>
  <c r="F51" i="1114"/>
  <c r="K50" i="1114"/>
  <c r="F50" i="1114"/>
  <c r="K49" i="1114"/>
  <c r="F49" i="1114"/>
  <c r="K48" i="1114"/>
  <c r="F48" i="1114"/>
  <c r="Q47" i="1114"/>
  <c r="P47" i="1114"/>
  <c r="K47" i="1114"/>
  <c r="F47" i="1114"/>
  <c r="K46" i="1114"/>
  <c r="F46" i="1114"/>
  <c r="K45" i="1114"/>
  <c r="F45" i="1114"/>
  <c r="K44" i="1114"/>
  <c r="F44" i="1114"/>
  <c r="K43" i="1114"/>
  <c r="F43" i="1114"/>
  <c r="K42" i="1114"/>
  <c r="F42" i="1114"/>
  <c r="R28" i="1114"/>
  <c r="R27" i="1114"/>
  <c r="R26" i="1114"/>
  <c r="R25" i="1114"/>
  <c r="R24" i="1114"/>
  <c r="R23" i="1114"/>
  <c r="R22" i="1114"/>
  <c r="R21" i="1114"/>
  <c r="R20" i="1114"/>
  <c r="R19" i="1114"/>
  <c r="R18" i="1114"/>
  <c r="R17" i="1114"/>
  <c r="R16" i="1114"/>
  <c r="R15" i="1114"/>
  <c r="R14" i="1114"/>
  <c r="R13" i="1114"/>
  <c r="R12" i="1114"/>
  <c r="R11" i="1114"/>
  <c r="R10" i="1114"/>
  <c r="K78" i="1113"/>
  <c r="K77" i="1113"/>
  <c r="K75" i="1113"/>
  <c r="K74" i="1113"/>
  <c r="K73" i="1113"/>
  <c r="K71" i="1113"/>
  <c r="K70" i="1113"/>
  <c r="K69" i="1113"/>
  <c r="K67" i="1113"/>
  <c r="K65" i="1113"/>
  <c r="F62" i="1113"/>
  <c r="F61" i="1113"/>
  <c r="K56" i="1113"/>
  <c r="K55" i="1113"/>
  <c r="K54" i="1113"/>
  <c r="K53" i="1113"/>
  <c r="K52" i="1113"/>
  <c r="F52" i="1113"/>
  <c r="K51" i="1113"/>
  <c r="F51" i="1113"/>
  <c r="K50" i="1113"/>
  <c r="F50" i="1113"/>
  <c r="K49" i="1113"/>
  <c r="F49" i="1113"/>
  <c r="K48" i="1113"/>
  <c r="F48" i="1113"/>
  <c r="Q47" i="1113"/>
  <c r="P47" i="1113"/>
  <c r="K47" i="1113"/>
  <c r="F47" i="1113"/>
  <c r="K46" i="1113"/>
  <c r="F46" i="1113"/>
  <c r="K45" i="1113"/>
  <c r="F45" i="1113"/>
  <c r="K44" i="1113"/>
  <c r="F44" i="1113"/>
  <c r="K43" i="1113"/>
  <c r="F43" i="1113"/>
  <c r="K42" i="1113"/>
  <c r="F42" i="1113"/>
  <c r="R28" i="1113"/>
  <c r="R27" i="1113"/>
  <c r="R26" i="1113"/>
  <c r="R25" i="1113"/>
  <c r="R24" i="1113"/>
  <c r="R23" i="1113"/>
  <c r="R22" i="1113"/>
  <c r="R21" i="1113"/>
  <c r="R20" i="1113"/>
  <c r="R19" i="1113"/>
  <c r="R18" i="1113"/>
  <c r="R17" i="1113"/>
  <c r="R16" i="1113"/>
  <c r="R15" i="1113"/>
  <c r="R14" i="1113"/>
  <c r="R13" i="1113"/>
  <c r="R12" i="1113"/>
  <c r="R11" i="1113"/>
  <c r="R10" i="1113"/>
  <c r="K78" i="1112"/>
  <c r="K77" i="1112"/>
  <c r="K75" i="1112"/>
  <c r="K74" i="1112"/>
  <c r="K73" i="1112"/>
  <c r="K71" i="1112"/>
  <c r="K70" i="1112"/>
  <c r="K69" i="1112"/>
  <c r="K67" i="1112"/>
  <c r="K65" i="1112"/>
  <c r="F62" i="1112"/>
  <c r="F61" i="1112"/>
  <c r="K56" i="1112"/>
  <c r="K55" i="1112"/>
  <c r="K54" i="1112"/>
  <c r="K53" i="1112"/>
  <c r="K52" i="1112"/>
  <c r="F52" i="1112"/>
  <c r="K51" i="1112"/>
  <c r="F51" i="1112"/>
  <c r="K50" i="1112"/>
  <c r="F50" i="1112"/>
  <c r="K49" i="1112"/>
  <c r="F49" i="1112"/>
  <c r="K48" i="1112"/>
  <c r="F48" i="1112"/>
  <c r="Q47" i="1112"/>
  <c r="P47" i="1112"/>
  <c r="K47" i="1112"/>
  <c r="F47" i="1112"/>
  <c r="K46" i="1112"/>
  <c r="F46" i="1112"/>
  <c r="K45" i="1112"/>
  <c r="F45" i="1112"/>
  <c r="K44" i="1112"/>
  <c r="F44" i="1112"/>
  <c r="K43" i="1112"/>
  <c r="F43" i="1112"/>
  <c r="K42" i="1112"/>
  <c r="F42" i="1112"/>
  <c r="R28" i="1112"/>
  <c r="R27" i="1112"/>
  <c r="R26" i="1112"/>
  <c r="R25" i="1112"/>
  <c r="R24" i="1112"/>
  <c r="R23" i="1112"/>
  <c r="R22" i="1112"/>
  <c r="R21" i="1112"/>
  <c r="R20" i="1112"/>
  <c r="R19" i="1112"/>
  <c r="R18" i="1112"/>
  <c r="R17" i="1112"/>
  <c r="R16" i="1112"/>
  <c r="R15" i="1112"/>
  <c r="R14" i="1112"/>
  <c r="R13" i="1112"/>
  <c r="R12" i="1112"/>
  <c r="R11" i="1112"/>
  <c r="R10" i="1112"/>
  <c r="K78" i="1111"/>
  <c r="K77" i="1111"/>
  <c r="K75" i="1111"/>
  <c r="K74" i="1111"/>
  <c r="K73" i="1111"/>
  <c r="K71" i="1111"/>
  <c r="K70" i="1111"/>
  <c r="K69" i="1111"/>
  <c r="K67" i="1111"/>
  <c r="K65" i="1111"/>
  <c r="F62" i="1111"/>
  <c r="F61" i="1111"/>
  <c r="K56" i="1111"/>
  <c r="K55" i="1111"/>
  <c r="K54" i="1111"/>
  <c r="K53" i="1111"/>
  <c r="K52" i="1111"/>
  <c r="F52" i="1111"/>
  <c r="K51" i="1111"/>
  <c r="F51" i="1111"/>
  <c r="K50" i="1111"/>
  <c r="F50" i="1111"/>
  <c r="K49" i="1111"/>
  <c r="F49" i="1111"/>
  <c r="K48" i="1111"/>
  <c r="F48" i="1111"/>
  <c r="Q47" i="1111"/>
  <c r="P47" i="1111"/>
  <c r="K47" i="1111"/>
  <c r="F47" i="1111"/>
  <c r="K46" i="1111"/>
  <c r="F46" i="1111"/>
  <c r="K45" i="1111"/>
  <c r="F45" i="1111"/>
  <c r="K44" i="1111"/>
  <c r="F44" i="1111"/>
  <c r="K43" i="1111"/>
  <c r="F43" i="1111"/>
  <c r="K42" i="1111"/>
  <c r="F42" i="1111"/>
  <c r="R28" i="1111"/>
  <c r="R27" i="1111"/>
  <c r="R26" i="1111"/>
  <c r="R25" i="1111"/>
  <c r="R24" i="1111"/>
  <c r="R23" i="1111"/>
  <c r="R22" i="1111"/>
  <c r="R21" i="1111"/>
  <c r="R20" i="1111"/>
  <c r="R19" i="1111"/>
  <c r="R18" i="1111"/>
  <c r="R17" i="1111"/>
  <c r="R16" i="1111"/>
  <c r="R15" i="1111"/>
  <c r="R14" i="1111"/>
  <c r="R13" i="1111"/>
  <c r="R12" i="1111"/>
  <c r="R11" i="1111"/>
  <c r="R10" i="1111"/>
  <c r="K78" i="1110"/>
  <c r="K77" i="1110"/>
  <c r="K75" i="1110"/>
  <c r="K74" i="1110"/>
  <c r="K73" i="1110"/>
  <c r="K71" i="1110"/>
  <c r="K70" i="1110"/>
  <c r="K69" i="1110"/>
  <c r="K67" i="1110"/>
  <c r="K65" i="1110"/>
  <c r="F62" i="1110"/>
  <c r="F61" i="1110"/>
  <c r="K56" i="1110"/>
  <c r="K55" i="1110"/>
  <c r="K54" i="1110"/>
  <c r="K53" i="1110"/>
  <c r="K52" i="1110"/>
  <c r="F52" i="1110"/>
  <c r="K51" i="1110"/>
  <c r="F51" i="1110"/>
  <c r="K50" i="1110"/>
  <c r="F50" i="1110"/>
  <c r="K49" i="1110"/>
  <c r="F49" i="1110"/>
  <c r="K48" i="1110"/>
  <c r="F48" i="1110"/>
  <c r="Q47" i="1110"/>
  <c r="P47" i="1110"/>
  <c r="K47" i="1110"/>
  <c r="F47" i="1110"/>
  <c r="K46" i="1110"/>
  <c r="F46" i="1110"/>
  <c r="K45" i="1110"/>
  <c r="F45" i="1110"/>
  <c r="K44" i="1110"/>
  <c r="F44" i="1110"/>
  <c r="K43" i="1110"/>
  <c r="F43" i="1110"/>
  <c r="K42" i="1110"/>
  <c r="F42" i="1110"/>
  <c r="R28" i="1110"/>
  <c r="R27" i="1110"/>
  <c r="R26" i="1110"/>
  <c r="R25" i="1110"/>
  <c r="R24" i="1110"/>
  <c r="R23" i="1110"/>
  <c r="R22" i="1110"/>
  <c r="R21" i="1110"/>
  <c r="R20" i="1110"/>
  <c r="R19" i="1110"/>
  <c r="R18" i="1110"/>
  <c r="R17" i="1110"/>
  <c r="R16" i="1110"/>
  <c r="R15" i="1110"/>
  <c r="R14" i="1110"/>
  <c r="R13" i="1110"/>
  <c r="R12" i="1110"/>
  <c r="R11" i="1110"/>
  <c r="R10" i="1110"/>
  <c r="K78" i="1109"/>
  <c r="K77" i="1109"/>
  <c r="K75" i="1109"/>
  <c r="K74" i="1109"/>
  <c r="K73" i="1109"/>
  <c r="K71" i="1109"/>
  <c r="K70" i="1109"/>
  <c r="K69" i="1109"/>
  <c r="K67" i="1109"/>
  <c r="K65" i="1109"/>
  <c r="F62" i="1109"/>
  <c r="F61" i="1109"/>
  <c r="K56" i="1109"/>
  <c r="K55" i="1109"/>
  <c r="K54" i="1109"/>
  <c r="K53" i="1109"/>
  <c r="K52" i="1109"/>
  <c r="F52" i="1109"/>
  <c r="K51" i="1109"/>
  <c r="F51" i="1109"/>
  <c r="K50" i="1109"/>
  <c r="F50" i="1109"/>
  <c r="K49" i="1109"/>
  <c r="F49" i="1109"/>
  <c r="K48" i="1109"/>
  <c r="F48" i="1109"/>
  <c r="Q47" i="1109"/>
  <c r="P47" i="1109"/>
  <c r="K47" i="1109"/>
  <c r="F47" i="1109"/>
  <c r="K46" i="1109"/>
  <c r="F46" i="1109"/>
  <c r="K45" i="1109"/>
  <c r="F45" i="1109"/>
  <c r="K44" i="1109"/>
  <c r="F44" i="1109"/>
  <c r="K43" i="1109"/>
  <c r="F43" i="1109"/>
  <c r="K42" i="1109"/>
  <c r="F42" i="1109"/>
  <c r="R28" i="1109"/>
  <c r="R27" i="1109"/>
  <c r="R26" i="1109"/>
  <c r="R25" i="1109"/>
  <c r="R24" i="1109"/>
  <c r="R23" i="1109"/>
  <c r="R22" i="1109"/>
  <c r="R21" i="1109"/>
  <c r="R20" i="1109"/>
  <c r="R19" i="1109"/>
  <c r="R18" i="1109"/>
  <c r="R17" i="1109"/>
  <c r="R16" i="1109"/>
  <c r="R15" i="1109"/>
  <c r="R14" i="1109"/>
  <c r="R13" i="1109"/>
  <c r="R12" i="1109"/>
  <c r="R11" i="1109"/>
  <c r="R10" i="1109"/>
  <c r="K78" i="1108"/>
  <c r="K77" i="1108"/>
  <c r="K75" i="1108"/>
  <c r="K74" i="1108"/>
  <c r="K73" i="1108"/>
  <c r="K71" i="1108"/>
  <c r="K70" i="1108"/>
  <c r="K69" i="1108"/>
  <c r="K67" i="1108"/>
  <c r="K65" i="1108"/>
  <c r="F62" i="1108"/>
  <c r="F61" i="1108"/>
  <c r="K56" i="1108"/>
  <c r="K55" i="1108"/>
  <c r="K54" i="1108"/>
  <c r="K53" i="1108"/>
  <c r="K52" i="1108"/>
  <c r="F52" i="1108"/>
  <c r="K51" i="1108"/>
  <c r="F51" i="1108"/>
  <c r="K50" i="1108"/>
  <c r="F50" i="1108"/>
  <c r="K49" i="1108"/>
  <c r="F49" i="1108"/>
  <c r="K48" i="1108"/>
  <c r="F48" i="1108"/>
  <c r="Q47" i="1108"/>
  <c r="P47" i="1108"/>
  <c r="K47" i="1108"/>
  <c r="F47" i="1108"/>
  <c r="K46" i="1108"/>
  <c r="F46" i="1108"/>
  <c r="K45" i="1108"/>
  <c r="F45" i="1108"/>
  <c r="K44" i="1108"/>
  <c r="F44" i="1108"/>
  <c r="K43" i="1108"/>
  <c r="F43" i="1108"/>
  <c r="K42" i="1108"/>
  <c r="F42" i="1108"/>
  <c r="R28" i="1108"/>
  <c r="R27" i="1108"/>
  <c r="R26" i="1108"/>
  <c r="R25" i="1108"/>
  <c r="R24" i="1108"/>
  <c r="R23" i="1108"/>
  <c r="R22" i="1108"/>
  <c r="R21" i="1108"/>
  <c r="R20" i="1108"/>
  <c r="R19" i="1108"/>
  <c r="R18" i="1108"/>
  <c r="R17" i="1108"/>
  <c r="R16" i="1108"/>
  <c r="R15" i="1108"/>
  <c r="R14" i="1108"/>
  <c r="R13" i="1108"/>
  <c r="R12" i="1108"/>
  <c r="R11" i="1108"/>
  <c r="R10" i="1108"/>
  <c r="K78" i="1107"/>
  <c r="K77" i="1107"/>
  <c r="K75" i="1107"/>
  <c r="K74" i="1107"/>
  <c r="K73" i="1107"/>
  <c r="K71" i="1107"/>
  <c r="K70" i="1107"/>
  <c r="K69" i="1107"/>
  <c r="K67" i="1107"/>
  <c r="K65" i="1107"/>
  <c r="F62" i="1107"/>
  <c r="F61" i="1107"/>
  <c r="K56" i="1107"/>
  <c r="K55" i="1107"/>
  <c r="K54" i="1107"/>
  <c r="K53" i="1107"/>
  <c r="K52" i="1107"/>
  <c r="F52" i="1107"/>
  <c r="K51" i="1107"/>
  <c r="F51" i="1107"/>
  <c r="K50" i="1107"/>
  <c r="F50" i="1107"/>
  <c r="K49" i="1107"/>
  <c r="F49" i="1107"/>
  <c r="K48" i="1107"/>
  <c r="F48" i="1107"/>
  <c r="Q47" i="1107"/>
  <c r="P47" i="1107"/>
  <c r="K47" i="1107"/>
  <c r="F47" i="1107"/>
  <c r="K46" i="1107"/>
  <c r="F46" i="1107"/>
  <c r="K45" i="1107"/>
  <c r="F45" i="1107"/>
  <c r="K44" i="1107"/>
  <c r="F44" i="1107"/>
  <c r="K43" i="1107"/>
  <c r="F43" i="1107"/>
  <c r="K42" i="1107"/>
  <c r="F42" i="1107"/>
  <c r="R28" i="1107"/>
  <c r="R27" i="1107"/>
  <c r="R26" i="1107"/>
  <c r="R25" i="1107"/>
  <c r="R24" i="1107"/>
  <c r="R23" i="1107"/>
  <c r="R22" i="1107"/>
  <c r="R21" i="1107"/>
  <c r="R20" i="1107"/>
  <c r="R19" i="1107"/>
  <c r="R18" i="1107"/>
  <c r="R17" i="1107"/>
  <c r="R16" i="1107"/>
  <c r="R15" i="1107"/>
  <c r="R14" i="1107"/>
  <c r="R13" i="1107"/>
  <c r="R12" i="1107"/>
  <c r="R11" i="1107"/>
  <c r="R10" i="1107"/>
  <c r="K78" i="1106"/>
  <c r="K77" i="1106"/>
  <c r="K75" i="1106"/>
  <c r="K74" i="1106"/>
  <c r="K73" i="1106"/>
  <c r="K71" i="1106"/>
  <c r="K70" i="1106"/>
  <c r="K69" i="1106"/>
  <c r="K67" i="1106"/>
  <c r="K65" i="1106"/>
  <c r="F62" i="1106"/>
  <c r="F61" i="1106"/>
  <c r="K56" i="1106"/>
  <c r="K55" i="1106"/>
  <c r="K54" i="1106"/>
  <c r="K53" i="1106"/>
  <c r="K52" i="1106"/>
  <c r="F52" i="1106"/>
  <c r="K51" i="1106"/>
  <c r="F51" i="1106"/>
  <c r="K50" i="1106"/>
  <c r="F50" i="1106"/>
  <c r="K49" i="1106"/>
  <c r="F49" i="1106"/>
  <c r="K48" i="1106"/>
  <c r="F48" i="1106"/>
  <c r="Q47" i="1106"/>
  <c r="P47" i="1106"/>
  <c r="K47" i="1106"/>
  <c r="F47" i="1106"/>
  <c r="K46" i="1106"/>
  <c r="F46" i="1106"/>
  <c r="K45" i="1106"/>
  <c r="F45" i="1106"/>
  <c r="K44" i="1106"/>
  <c r="F44" i="1106"/>
  <c r="K43" i="1106"/>
  <c r="F43" i="1106"/>
  <c r="K42" i="1106"/>
  <c r="F42" i="1106"/>
  <c r="R28" i="1106"/>
  <c r="R27" i="1106"/>
  <c r="R26" i="1106"/>
  <c r="R25" i="1106"/>
  <c r="R24" i="1106"/>
  <c r="R23" i="1106"/>
  <c r="R22" i="1106"/>
  <c r="R21" i="1106"/>
  <c r="R20" i="1106"/>
  <c r="R19" i="1106"/>
  <c r="R18" i="1106"/>
  <c r="R17" i="1106"/>
  <c r="R16" i="1106"/>
  <c r="R15" i="1106"/>
  <c r="R14" i="1106"/>
  <c r="R13" i="1106"/>
  <c r="R12" i="1106"/>
  <c r="R11" i="1106"/>
  <c r="R10" i="1106"/>
  <c r="K73" i="1105"/>
  <c r="R47" i="1119" l="1"/>
  <c r="R47" i="1118"/>
  <c r="R47" i="1117"/>
  <c r="R47" i="1116"/>
  <c r="R47" i="1115"/>
  <c r="R47" i="1114"/>
  <c r="R47" i="1113"/>
  <c r="R47" i="1112"/>
  <c r="R47" i="1111"/>
  <c r="R47" i="1110"/>
  <c r="R47" i="1109"/>
  <c r="R47" i="1108"/>
  <c r="R47" i="1107"/>
  <c r="R47" i="1106"/>
  <c r="K78" i="1105"/>
  <c r="K77" i="1105"/>
  <c r="K75" i="1105"/>
  <c r="K74" i="1105"/>
  <c r="K71" i="1105"/>
  <c r="K70" i="1105"/>
  <c r="K69" i="1105"/>
  <c r="K67" i="1105"/>
  <c r="K65" i="1105"/>
  <c r="F62" i="1105"/>
  <c r="F61" i="1105"/>
  <c r="K56" i="1105"/>
  <c r="K55" i="1105"/>
  <c r="K54" i="1105"/>
  <c r="K53" i="1105"/>
  <c r="K52" i="1105"/>
  <c r="F52" i="1105"/>
  <c r="K51" i="1105"/>
  <c r="F51" i="1105"/>
  <c r="K50" i="1105"/>
  <c r="F50" i="1105"/>
  <c r="K49" i="1105"/>
  <c r="F49" i="1105"/>
  <c r="K48" i="1105"/>
  <c r="F48" i="1105"/>
  <c r="Q47" i="1105"/>
  <c r="P47" i="1105"/>
  <c r="K47" i="1105"/>
  <c r="F47" i="1105"/>
  <c r="K46" i="1105"/>
  <c r="F46" i="1105"/>
  <c r="K45" i="1105"/>
  <c r="F45" i="1105"/>
  <c r="K44" i="1105"/>
  <c r="F44" i="1105"/>
  <c r="K43" i="1105"/>
  <c r="F43" i="1105"/>
  <c r="K42" i="1105"/>
  <c r="F42" i="1105"/>
  <c r="R28" i="1105"/>
  <c r="R27" i="1105"/>
  <c r="R26" i="1105"/>
  <c r="R25" i="1105"/>
  <c r="R24" i="1105"/>
  <c r="R23" i="1105"/>
  <c r="R22" i="1105"/>
  <c r="R21" i="1105"/>
  <c r="R20" i="1105"/>
  <c r="R19" i="1105"/>
  <c r="R18" i="1105"/>
  <c r="R17" i="1105"/>
  <c r="R16" i="1105"/>
  <c r="R15" i="1105"/>
  <c r="R14" i="1105"/>
  <c r="R13" i="1105"/>
  <c r="R12" i="1105"/>
  <c r="R11" i="1105"/>
  <c r="R10" i="1105"/>
  <c r="R47" i="1105" l="1"/>
</calcChain>
</file>

<file path=xl/sharedStrings.xml><?xml version="1.0" encoding="utf-8"?>
<sst xmlns="http://schemas.openxmlformats.org/spreadsheetml/2006/main" count="6389" uniqueCount="358">
  <si>
    <t>명 일  주 요 작 업 내 용</t>
    <phoneticPr fontId="1" type="noConversion"/>
  </si>
  <si>
    <t>m3</t>
  </si>
  <si>
    <t>41kg</t>
  </si>
  <si>
    <t xml:space="preserve"> 천공기</t>
    <phoneticPr fontId="1" type="noConversion"/>
  </si>
  <si>
    <t>공    사    일    보</t>
  </si>
  <si>
    <t>현 장 명</t>
  </si>
  <si>
    <t>결 재</t>
  </si>
  <si>
    <t>담 당 자</t>
  </si>
  <si>
    <t>현장대리인</t>
  </si>
  <si>
    <t>일    자</t>
  </si>
  <si>
    <t>날 씨 / 기 온</t>
  </si>
  <si>
    <t>금 일  주 요 작 업 내 용</t>
  </si>
  <si>
    <t>인원투입현황</t>
  </si>
  <si>
    <t>업체명</t>
  </si>
  <si>
    <t>투입인원(명)</t>
  </si>
  <si>
    <t>전일</t>
  </si>
  <si>
    <t>금일</t>
  </si>
  <si>
    <t>누계</t>
  </si>
  <si>
    <t>직원</t>
  </si>
  <si>
    <t>㈜이안알앤씨</t>
  </si>
  <si>
    <t>직영</t>
  </si>
  <si>
    <t>토목</t>
  </si>
  <si>
    <t>㈜정민이앤씨</t>
  </si>
  <si>
    <t>전기</t>
  </si>
  <si>
    <t>㈜파르이앤씨</t>
  </si>
  <si>
    <t>가설휀스</t>
  </si>
  <si>
    <t>ING산업개발</t>
  </si>
  <si>
    <t>RC</t>
  </si>
  <si>
    <t>정민피엠씨</t>
  </si>
  <si>
    <t>금백건설㈜</t>
  </si>
  <si>
    <t>철골</t>
  </si>
  <si>
    <t>세진에스앤티㈜</t>
  </si>
  <si>
    <t>계측</t>
  </si>
  <si>
    <t>㈜지티이엔시</t>
  </si>
  <si>
    <t>창호</t>
  </si>
  <si>
    <t>이안에이엘㈜</t>
  </si>
  <si>
    <t>설비</t>
  </si>
  <si>
    <t>인우이앤씨</t>
  </si>
  <si>
    <t>철거</t>
  </si>
  <si>
    <t>지열</t>
  </si>
  <si>
    <t>티이엔</t>
  </si>
  <si>
    <t>촬영</t>
  </si>
  <si>
    <t>스튜디오슈프림</t>
  </si>
  <si>
    <t>타워</t>
  </si>
  <si>
    <t>와이케이</t>
  </si>
  <si>
    <t>한옥</t>
  </si>
  <si>
    <t>새한</t>
  </si>
  <si>
    <t>주요자재 투입현황</t>
  </si>
  <si>
    <t>장비 투입현황</t>
  </si>
  <si>
    <t>자재명</t>
  </si>
  <si>
    <t>규격</t>
  </si>
  <si>
    <t>단위</t>
  </si>
  <si>
    <t>수량</t>
  </si>
  <si>
    <t>장비명</t>
  </si>
  <si>
    <t>레미콘</t>
  </si>
  <si>
    <t>B/H</t>
  </si>
  <si>
    <t>03</t>
  </si>
  <si>
    <t>철근 HD10</t>
  </si>
  <si>
    <t>TON</t>
  </si>
  <si>
    <t>06</t>
  </si>
  <si>
    <t>철근 HD13</t>
  </si>
  <si>
    <t>08</t>
  </si>
  <si>
    <t>철근 HD16</t>
  </si>
  <si>
    <t>10</t>
  </si>
  <si>
    <t>철근 HD19</t>
  </si>
  <si>
    <t>D/T</t>
  </si>
  <si>
    <t>철근 HD22</t>
  </si>
  <si>
    <t>합계</t>
  </si>
  <si>
    <t>철근 HD25</t>
  </si>
  <si>
    <t>스카이</t>
  </si>
  <si>
    <t>특 이 사 항</t>
  </si>
  <si>
    <t>철근 HD29</t>
  </si>
  <si>
    <t>지게차</t>
  </si>
  <si>
    <t>7톤</t>
  </si>
  <si>
    <t>철근 HD32</t>
  </si>
  <si>
    <t>펌프카</t>
  </si>
  <si>
    <t>H-BEAM(토목)</t>
  </si>
  <si>
    <t>크레인</t>
  </si>
  <si>
    <t>24톤</t>
  </si>
  <si>
    <t>H-BEAM(철골)</t>
  </si>
  <si>
    <t>50톤</t>
  </si>
  <si>
    <t>철골 부속</t>
  </si>
  <si>
    <t xml:space="preserve">시멘트 </t>
  </si>
  <si>
    <t>40kg</t>
  </si>
  <si>
    <t>포</t>
  </si>
  <si>
    <t>고소작업대</t>
  </si>
  <si>
    <t>레미탈</t>
  </si>
  <si>
    <t>데크플레이트</t>
  </si>
  <si>
    <t>m2</t>
  </si>
  <si>
    <t>SD530E</t>
  </si>
  <si>
    <t>천공기</t>
  </si>
  <si>
    <t>주니어40</t>
  </si>
  <si>
    <t>오거(항타)</t>
  </si>
  <si>
    <t>DH608</t>
  </si>
  <si>
    <t>오거(PRD)</t>
  </si>
  <si>
    <t>DH754</t>
  </si>
  <si>
    <t>(주)신원이엔지</t>
    <phoneticPr fontId="1" type="noConversion"/>
  </si>
  <si>
    <t xml:space="preserve"> </t>
    <phoneticPr fontId="1" type="noConversion"/>
  </si>
  <si>
    <t>25톤</t>
    <phoneticPr fontId="1" type="noConversion"/>
  </si>
  <si>
    <t>SD-700II</t>
  </si>
  <si>
    <t>직영공사</t>
    <phoneticPr fontId="1" type="noConversion"/>
  </si>
  <si>
    <t>할암기</t>
    <phoneticPr fontId="1" type="noConversion"/>
  </si>
  <si>
    <t>HRD2500</t>
    <phoneticPr fontId="1" type="noConversion"/>
  </si>
  <si>
    <t>10톤</t>
    <phoneticPr fontId="1" type="noConversion"/>
  </si>
  <si>
    <t>35톤</t>
    <phoneticPr fontId="1" type="noConversion"/>
  </si>
  <si>
    <t>- 현장정리정돈</t>
    <phoneticPr fontId="1" type="noConversion"/>
  </si>
  <si>
    <t>035</t>
    <phoneticPr fontId="1" type="noConversion"/>
  </si>
  <si>
    <t xml:space="preserve">                           </t>
    <phoneticPr fontId="1" type="noConversion"/>
  </si>
  <si>
    <t>크레인</t>
    <phoneticPr fontId="1" type="noConversion"/>
  </si>
  <si>
    <t>5톤</t>
    <phoneticPr fontId="1" type="noConversion"/>
  </si>
  <si>
    <t>콤프레셔</t>
    <phoneticPr fontId="1" type="noConversion"/>
  </si>
  <si>
    <t>100톤</t>
    <phoneticPr fontId="1" type="noConversion"/>
  </si>
  <si>
    <t>오거</t>
    <phoneticPr fontId="1" type="noConversion"/>
  </si>
  <si>
    <t>JA-050C</t>
    <phoneticPr fontId="1" type="noConversion"/>
  </si>
  <si>
    <t>M</t>
    <phoneticPr fontId="1" type="noConversion"/>
  </si>
  <si>
    <t>300*200</t>
    <phoneticPr fontId="1" type="noConversion"/>
  </si>
  <si>
    <t>RC공사</t>
    <phoneticPr fontId="1" type="noConversion"/>
  </si>
  <si>
    <t>습식</t>
    <phoneticPr fontId="1" type="noConversion"/>
  </si>
  <si>
    <t>보인건설</t>
    <phoneticPr fontId="1" type="noConversion"/>
  </si>
  <si>
    <t>맑음</t>
    <phoneticPr fontId="1" type="noConversion"/>
  </si>
  <si>
    <t>석재</t>
    <phoneticPr fontId="1" type="noConversion"/>
  </si>
  <si>
    <t>레보스톤</t>
    <phoneticPr fontId="1" type="noConversion"/>
  </si>
  <si>
    <t>SKMS연구소 서울분원(선혜원) 신축공사</t>
    <phoneticPr fontId="1" type="noConversion"/>
  </si>
  <si>
    <t>코어</t>
    <phoneticPr fontId="1" type="noConversion"/>
  </si>
  <si>
    <t>바브캣</t>
    <phoneticPr fontId="1" type="noConversion"/>
  </si>
  <si>
    <t>&lt;형틀공사&gt;</t>
    <phoneticPr fontId="1" type="noConversion"/>
  </si>
  <si>
    <t>&lt;철근공사&gt;</t>
    <phoneticPr fontId="1" type="noConversion"/>
  </si>
  <si>
    <t>전기공사</t>
    <phoneticPr fontId="1" type="noConversion"/>
  </si>
  <si>
    <t>부대토목</t>
    <phoneticPr fontId="1" type="noConversion"/>
  </si>
  <si>
    <t>완영</t>
    <phoneticPr fontId="1" type="noConversion"/>
  </si>
  <si>
    <t>300*300</t>
  </si>
  <si>
    <t>M</t>
  </si>
  <si>
    <t>PF보드</t>
    <phoneticPr fontId="1" type="noConversion"/>
  </si>
  <si>
    <t>m2</t>
    <phoneticPr fontId="1" type="noConversion"/>
  </si>
  <si>
    <t>017</t>
  </si>
  <si>
    <t>설비공사</t>
    <phoneticPr fontId="1" type="noConversion"/>
  </si>
  <si>
    <t>철골공사</t>
    <phoneticPr fontId="1" type="noConversion"/>
  </si>
  <si>
    <t>한옥공사</t>
    <phoneticPr fontId="1" type="noConversion"/>
  </si>
  <si>
    <t>07</t>
    <phoneticPr fontId="1" type="noConversion"/>
  </si>
  <si>
    <t>최저 12℃ / 최고24℃</t>
    <phoneticPr fontId="1" type="noConversion"/>
  </si>
  <si>
    <t>- 지하1층 동측 슬라브 및 보 거푸집 설치</t>
    <phoneticPr fontId="1" type="noConversion"/>
  </si>
  <si>
    <t>- 지하1층 벽체 매립배관 설치</t>
    <phoneticPr fontId="1" type="noConversion"/>
  </si>
  <si>
    <t>- 지하1층 동측 슬라브 및 보 철근 배근</t>
    <phoneticPr fontId="1" type="noConversion"/>
  </si>
  <si>
    <t>250톤</t>
  </si>
  <si>
    <t>330톤</t>
    <phoneticPr fontId="1" type="noConversion"/>
  </si>
  <si>
    <t>16톤</t>
    <phoneticPr fontId="1" type="noConversion"/>
  </si>
  <si>
    <t>- 경흥각 기둥 세우기</t>
    <phoneticPr fontId="1" type="noConversion"/>
  </si>
  <si>
    <t>- 지하1층 선큰-3 지하외벽 철근 배근</t>
    <phoneticPr fontId="1" type="noConversion"/>
  </si>
  <si>
    <t>- 지상1층 남측 스트러트 용단</t>
    <phoneticPr fontId="1" type="noConversion"/>
  </si>
  <si>
    <t>- 지하1층 외벽 슬리브 설치</t>
    <phoneticPr fontId="1" type="noConversion"/>
  </si>
  <si>
    <t>- 지하2층 북측, 남측 벽체 거푸집 설치</t>
    <phoneticPr fontId="1" type="noConversion"/>
  </si>
  <si>
    <t>- 지하2층 북측 벽체 거푸집 설치</t>
    <phoneticPr fontId="1" type="noConversion"/>
  </si>
  <si>
    <t>- 지하1층 동측 슬라브 및 보 2차 부위 하부 시스템 동바리 설치</t>
    <phoneticPr fontId="1" type="noConversion"/>
  </si>
  <si>
    <t>- 지상1층 남측 스트러트 해체</t>
    <phoneticPr fontId="1" type="noConversion"/>
  </si>
  <si>
    <t>- 해체 가설 철골 반출</t>
    <phoneticPr fontId="1" type="noConversion"/>
  </si>
  <si>
    <t>최저 13℃ / 최고29℃</t>
    <phoneticPr fontId="1" type="noConversion"/>
  </si>
  <si>
    <t>- 지상1층 기둥 철근 가공</t>
    <phoneticPr fontId="1" type="noConversion"/>
  </si>
  <si>
    <t>- 지하1층 동측 슬라브 및 보 2차 거푸집 설치</t>
    <phoneticPr fontId="1" type="noConversion"/>
  </si>
  <si>
    <t>방수공사</t>
    <phoneticPr fontId="1" type="noConversion"/>
  </si>
  <si>
    <t>- 지하3층 외벽 면정리</t>
    <phoneticPr fontId="1" type="noConversion"/>
  </si>
  <si>
    <t>- 지하1층 북측 외벽 좌대브라켓 용단</t>
    <phoneticPr fontId="1" type="noConversion"/>
  </si>
  <si>
    <t>- 지하3층 볼트 방청도장</t>
    <phoneticPr fontId="1" type="noConversion"/>
  </si>
  <si>
    <t>- 지하1층 북측 벽체 거푸집 설치</t>
    <phoneticPr fontId="1" type="noConversion"/>
  </si>
  <si>
    <t>- 지상1층 기둥 철근 배근</t>
    <phoneticPr fontId="1" type="noConversion"/>
  </si>
  <si>
    <t>- 지하1층 남측 가설스트러트 해체</t>
    <phoneticPr fontId="1" type="noConversion"/>
  </si>
  <si>
    <t>- 해체 가설철골 반출</t>
    <phoneticPr fontId="1" type="noConversion"/>
  </si>
  <si>
    <t>- 지하1층 캡빔 위 H-pile 용단</t>
    <phoneticPr fontId="1" type="noConversion"/>
  </si>
  <si>
    <t>- 지하1층 벽체 및 슬라브 매립배관 설치</t>
    <phoneticPr fontId="1" type="noConversion"/>
  </si>
  <si>
    <t>- 지하3층 잔여 방수턱 및 벽 날개 거푸집 설치</t>
    <phoneticPr fontId="1" type="noConversion"/>
  </si>
  <si>
    <t>- 지하3층 잔여 방수턱 및 벽 날개 철근 배근</t>
    <phoneticPr fontId="1" type="noConversion"/>
  </si>
  <si>
    <t>비</t>
    <phoneticPr fontId="1" type="noConversion"/>
  </si>
  <si>
    <t>최저 18℃ / 최고20℃</t>
    <phoneticPr fontId="1" type="noConversion"/>
  </si>
  <si>
    <t>- 배수 펌프 점검</t>
    <phoneticPr fontId="1" type="noConversion"/>
  </si>
  <si>
    <t>(우천으로 인한 작업 순연)</t>
    <phoneticPr fontId="1" type="noConversion"/>
  </si>
  <si>
    <t>- 지하1층 슬라브 및 벽체 매립배관 설치</t>
    <phoneticPr fontId="1" type="noConversion"/>
  </si>
  <si>
    <t>최저 13℃ / 최고15℃</t>
    <phoneticPr fontId="1" type="noConversion"/>
  </si>
  <si>
    <t>&lt;타설공사&gt;</t>
    <phoneticPr fontId="1" type="noConversion"/>
  </si>
  <si>
    <t>- 지하1층 동측 슬라브 및 보 con'c 1차 타설</t>
    <phoneticPr fontId="1" type="noConversion"/>
  </si>
  <si>
    <t>최저 13℃ / 최고18℃</t>
    <phoneticPr fontId="1" type="noConversion"/>
  </si>
  <si>
    <t>민원공사</t>
    <phoneticPr fontId="1" type="noConversion"/>
  </si>
  <si>
    <t>- 세대별 작업 일정계획 및 자재준비</t>
    <phoneticPr fontId="1" type="noConversion"/>
  </si>
  <si>
    <t>- 지하1층 북쪽 외벽 좌대브라켓 용단</t>
    <phoneticPr fontId="1" type="noConversion"/>
  </si>
  <si>
    <t>- 목재 반입</t>
    <phoneticPr fontId="1" type="noConversion"/>
  </si>
  <si>
    <t>- 지하1층 외벽 철근 배근</t>
    <phoneticPr fontId="1" type="noConversion"/>
  </si>
  <si>
    <t>- 지상1층 기둥 및 벽체 철근 배근</t>
    <phoneticPr fontId="1" type="noConversion"/>
  </si>
  <si>
    <t>- 세대별 작업 일정계획 및 자재 준비</t>
    <phoneticPr fontId="1" type="noConversion"/>
  </si>
  <si>
    <t>- B2 가설사무실 설치</t>
    <phoneticPr fontId="1" type="noConversion"/>
  </si>
  <si>
    <t>- 지하1층 벽체 철근 배근</t>
    <phoneticPr fontId="1" type="noConversion"/>
  </si>
  <si>
    <t>- 지하3층 외벽 침투방수제 도포</t>
    <phoneticPr fontId="1" type="noConversion"/>
  </si>
  <si>
    <t>- 경흥각 평방 및 창방 조립</t>
    <phoneticPr fontId="1" type="noConversion"/>
  </si>
  <si>
    <t>최저 11℃ / 최고21℃</t>
    <phoneticPr fontId="1" type="noConversion"/>
  </si>
  <si>
    <t>- 지하1층 동측 보 (2차) 철근 배근</t>
    <phoneticPr fontId="1" type="noConversion"/>
  </si>
  <si>
    <t>- 지상1층 남측 가설 스트러트 용단</t>
    <phoneticPr fontId="1" type="noConversion"/>
  </si>
  <si>
    <t>- 지하1층 동측 슬라브 매립배관 설치</t>
    <phoneticPr fontId="1" type="noConversion"/>
  </si>
  <si>
    <t>- 지하1층 남측 벽체 앞 비계 설치</t>
    <phoneticPr fontId="1" type="noConversion"/>
  </si>
  <si>
    <t>최저 13℃ / 최고24℃</t>
    <phoneticPr fontId="1" type="noConversion"/>
  </si>
  <si>
    <t>- 지상1층 남측 벽체 철근 배근</t>
    <phoneticPr fontId="1" type="noConversion"/>
  </si>
  <si>
    <t>- 지하1층 동측 슬라브 및 보 (2차) 철근 배근</t>
    <phoneticPr fontId="1" type="noConversion"/>
  </si>
  <si>
    <t>- 해체 가설 부재 반출</t>
    <phoneticPr fontId="1" type="noConversion"/>
  </si>
  <si>
    <t>- 지하1층 동측 슬라브(2차) 철근 배근</t>
    <phoneticPr fontId="1" type="noConversion"/>
  </si>
  <si>
    <t>최저 10℃ / 최고23℃</t>
    <phoneticPr fontId="1" type="noConversion"/>
  </si>
  <si>
    <t>- 지하1층 수직재 3차(북측 벽체) con'c 타설</t>
    <phoneticPr fontId="1" type="noConversion"/>
  </si>
  <si>
    <t>- 지하1층 동측 슬라브 배근</t>
    <phoneticPr fontId="1" type="noConversion"/>
  </si>
  <si>
    <t>- 지상1층 남측 외벽 배근</t>
    <phoneticPr fontId="1" type="noConversion"/>
  </si>
  <si>
    <t>- 지상1층 북측 벽체 배근</t>
    <phoneticPr fontId="1" type="noConversion"/>
  </si>
  <si>
    <t>- 지상1층 잔여 부재 설치</t>
    <phoneticPr fontId="1" type="noConversion"/>
  </si>
  <si>
    <t>- 지상1층 남측 브라켓 용단 및 해체</t>
    <phoneticPr fontId="1" type="noConversion"/>
  </si>
  <si>
    <t>-지하3층 외벽 침투성 방수재 도포</t>
    <phoneticPr fontId="1" type="noConversion"/>
  </si>
  <si>
    <t>- 지상1층 동측 매립배관 설치</t>
    <phoneticPr fontId="1" type="noConversion"/>
  </si>
  <si>
    <t>- 지하1층 동측 슬라브 루프드레인 설치</t>
    <phoneticPr fontId="1" type="noConversion"/>
  </si>
  <si>
    <t>- 지상1층 잔여 부재 설치 및 용접</t>
    <phoneticPr fontId="1" type="noConversion"/>
  </si>
  <si>
    <t>- 지상1층 동측 슬라브 매립배관 설치</t>
    <phoneticPr fontId="1" type="noConversion"/>
  </si>
  <si>
    <t>- 지하층 거푸집 해체 및 자재 정리</t>
    <phoneticPr fontId="1" type="noConversion"/>
  </si>
  <si>
    <t>- 지하1층 남측 외벽 거푸집 설치</t>
    <phoneticPr fontId="1" type="noConversion"/>
  </si>
  <si>
    <t>- 경흥각 귀틀 조립</t>
    <phoneticPr fontId="1" type="noConversion"/>
  </si>
  <si>
    <t>- 지하1층 수직재 거푸집 해체 및 정리</t>
    <phoneticPr fontId="1" type="noConversion"/>
  </si>
  <si>
    <t>- 지하1층 코어-2 벽체 철근 배근</t>
    <phoneticPr fontId="1" type="noConversion"/>
  </si>
  <si>
    <t>- 지하1층 남측 벽체 철근 배근</t>
    <phoneticPr fontId="1" type="noConversion"/>
  </si>
  <si>
    <t>- 지하1층 동측 벽체 다웰바 배근</t>
    <phoneticPr fontId="1" type="noConversion"/>
  </si>
  <si>
    <t>단열공사</t>
    <phoneticPr fontId="1" type="noConversion"/>
  </si>
  <si>
    <t>- 자재 반입</t>
    <phoneticPr fontId="1" type="noConversion"/>
  </si>
  <si>
    <t xml:space="preserve">- 지하3층 천장 철골 보 내화 뿜칠 </t>
    <phoneticPr fontId="1" type="noConversion"/>
  </si>
  <si>
    <t>최저 14℃ / 최고18℃</t>
    <phoneticPr fontId="1" type="noConversion"/>
  </si>
  <si>
    <t>- 지하1층 슬라브 및 보 2차 con'c 타설</t>
    <phoneticPr fontId="1" type="noConversion"/>
  </si>
  <si>
    <t>- 지하1층 코어-2 벽체 거푸집 설치</t>
    <phoneticPr fontId="1" type="noConversion"/>
  </si>
  <si>
    <t>최저 8℃ / 최고20℃</t>
    <phoneticPr fontId="1" type="noConversion"/>
  </si>
  <si>
    <t>- 지하1층 북측 외벽 철근 배근</t>
    <phoneticPr fontId="1" type="noConversion"/>
  </si>
  <si>
    <t>- 지하3층 전기실 천장 퍼라이트뿜칠</t>
    <phoneticPr fontId="1" type="noConversion"/>
  </si>
  <si>
    <t>- 경흥각 2층 창방 조립</t>
    <phoneticPr fontId="1" type="noConversion"/>
  </si>
  <si>
    <t>단열</t>
    <phoneticPr fontId="1" type="noConversion"/>
  </si>
  <si>
    <t>(주)고려피앤아이</t>
    <phoneticPr fontId="1" type="noConversion"/>
  </si>
  <si>
    <t>- 지상1층 코어-1 가설 띠장 및 스트러트 용단</t>
    <phoneticPr fontId="1" type="noConversion"/>
  </si>
  <si>
    <t>- 북측면 엄지말뚝 용단</t>
    <phoneticPr fontId="1" type="noConversion"/>
  </si>
  <si>
    <t>최저 12℃ / 최고25℃</t>
    <phoneticPr fontId="1" type="noConversion"/>
  </si>
  <si>
    <t>- 지하1층 계단실-1 계단슬라브 거푸집 설치</t>
    <phoneticPr fontId="1" type="noConversion"/>
  </si>
  <si>
    <t>- 지상1층 남측 외벽 거푸집 설치</t>
    <phoneticPr fontId="1" type="noConversion"/>
  </si>
  <si>
    <t>- 지하1층 동남측 벽체 철근 배근</t>
    <phoneticPr fontId="1" type="noConversion"/>
  </si>
  <si>
    <t>- 지상1층 코어-1 가설부재 해체 및 반출</t>
    <phoneticPr fontId="1" type="noConversion"/>
  </si>
  <si>
    <t>- 경흥각 목재 자재 반입(2층 창방, 포부재)</t>
    <phoneticPr fontId="1" type="noConversion"/>
  </si>
  <si>
    <t>- 지상1층 벽체 매립배관 및 아울렛박스 설치</t>
    <phoneticPr fontId="1" type="noConversion"/>
  </si>
  <si>
    <t>- 지상1층 동측 잔여슬라브 하부 시스템동바리 설치</t>
    <phoneticPr fontId="1" type="noConversion"/>
  </si>
  <si>
    <t>- 민원댁(삼청로9길11-1) 벽 및 바닥 미장</t>
    <phoneticPr fontId="1" type="noConversion"/>
  </si>
  <si>
    <t>최저 16℃ / 최고27℃</t>
    <phoneticPr fontId="1" type="noConversion"/>
  </si>
  <si>
    <t>- 지하1층 코어-1 계단실 거푸집 설치</t>
    <phoneticPr fontId="1" type="noConversion"/>
  </si>
  <si>
    <t>- 1층 슬라브 동바리 설치</t>
    <phoneticPr fontId="1" type="noConversion"/>
  </si>
  <si>
    <t>- 경흥각 2층 수평재 조립 (창방, 포부재)</t>
    <phoneticPr fontId="1" type="noConversion"/>
  </si>
  <si>
    <t>- 지하1층 기물보관실 배관</t>
    <phoneticPr fontId="1" type="noConversion"/>
  </si>
  <si>
    <t>- 벽 스위치 박스 설치</t>
    <phoneticPr fontId="1" type="noConversion"/>
  </si>
  <si>
    <t>- 민원인댁(삼청로9길 3-4) 옥상 바닥 미장</t>
    <phoneticPr fontId="1" type="noConversion"/>
  </si>
  <si>
    <t>최저 18℃ / 최고27℃</t>
    <phoneticPr fontId="1" type="noConversion"/>
  </si>
  <si>
    <t>- 지하1층 배관작업</t>
    <phoneticPr fontId="1" type="noConversion"/>
  </si>
  <si>
    <t>- 지하3층 내화뿜칠</t>
    <phoneticPr fontId="1" type="noConversion"/>
  </si>
  <si>
    <t>- 지하3층 퍼라이트 뿜칠</t>
    <phoneticPr fontId="1" type="noConversion"/>
  </si>
  <si>
    <t>- 민원댁공사</t>
    <phoneticPr fontId="1" type="noConversion"/>
  </si>
  <si>
    <t>- 민원댁(삼청로9길 3-13) 바닥 방수 및 미장 공사</t>
    <phoneticPr fontId="1" type="noConversion"/>
  </si>
  <si>
    <t>- 지상1층 보 철근 배근</t>
    <phoneticPr fontId="1" type="noConversion"/>
  </si>
  <si>
    <t>- 지하1층 벽체 매립 배관작업</t>
    <phoneticPr fontId="1" type="noConversion"/>
  </si>
  <si>
    <t>- 지하1층 코어-2 매립소화전 설치</t>
    <phoneticPr fontId="1" type="noConversion"/>
  </si>
  <si>
    <t>- 지하1층 벽체 슬리브 설치</t>
    <phoneticPr fontId="1" type="noConversion"/>
  </si>
  <si>
    <t>- 경흥각 2층 창방, 포부재 조립</t>
    <phoneticPr fontId="1" type="noConversion"/>
  </si>
  <si>
    <t>- 경흥각 종량 설치</t>
    <phoneticPr fontId="1" type="noConversion"/>
  </si>
  <si>
    <t>- 지하1층 벽체 거푸집 설치</t>
    <phoneticPr fontId="1" type="noConversion"/>
  </si>
  <si>
    <t>- 지상1층 동측 슬라브 및 보 거푸집 설치</t>
    <phoneticPr fontId="1" type="noConversion"/>
  </si>
  <si>
    <t>- 지하3층 천장 내화뿜칠 및 퍼라이트 뿜칠</t>
    <phoneticPr fontId="1" type="noConversion"/>
  </si>
  <si>
    <t>- 지하1층 가설 기둥 용단</t>
    <phoneticPr fontId="1" type="noConversion"/>
  </si>
  <si>
    <t>- 대지북측 엄지말뚝 용단</t>
    <phoneticPr fontId="1" type="noConversion"/>
  </si>
  <si>
    <t>- 지하3층 기계실 천장 퍼라이트 뿜칠</t>
    <phoneticPr fontId="1" type="noConversion"/>
  </si>
  <si>
    <t>- 해체 가설부재 반출</t>
    <phoneticPr fontId="1" type="noConversion"/>
  </si>
  <si>
    <t>- 지상1층 동측 잔여 데크플레이트 설치</t>
    <phoneticPr fontId="1" type="noConversion"/>
  </si>
  <si>
    <t>- 경흥각 대량 설치</t>
    <phoneticPr fontId="1" type="noConversion"/>
  </si>
  <si>
    <t>- 계단실 계단슬라브 철근 배근</t>
    <phoneticPr fontId="1" type="noConversion"/>
  </si>
  <si>
    <t>최저 17℃ / 최고28℃</t>
    <phoneticPr fontId="1" type="noConversion"/>
  </si>
  <si>
    <t>- 지상1층 벽체, 보 철근 배근</t>
    <phoneticPr fontId="1" type="noConversion"/>
  </si>
  <si>
    <t>- 민원댁(삼청로9길 3-19) 바닥, 벽체 미장</t>
    <phoneticPr fontId="1" type="noConversion"/>
  </si>
  <si>
    <t>- 현장정리정돈 및 상량식 준비</t>
    <phoneticPr fontId="1" type="noConversion"/>
  </si>
  <si>
    <t>- 지하1층 수직재 4차(북측 벽체 상단) con'c 타설</t>
    <phoneticPr fontId="1" type="noConversion"/>
  </si>
  <si>
    <t>- 경흥각 포부재 조립</t>
    <phoneticPr fontId="1" type="noConversion"/>
  </si>
  <si>
    <t>- 지상1층 남동측 슬라브 및 보 거푸집 설치</t>
    <phoneticPr fontId="1" type="noConversion"/>
  </si>
  <si>
    <t>- 지상1층 북동측 보 철근 배근</t>
    <phoneticPr fontId="1" type="noConversion"/>
  </si>
  <si>
    <t>최저 16℃ / 최고26℃</t>
    <phoneticPr fontId="1" type="noConversion"/>
  </si>
  <si>
    <t>- 경흥각 1층 측면 귀틀 조립</t>
    <phoneticPr fontId="1" type="noConversion"/>
  </si>
  <si>
    <t>- 지상1층 슬라브 매립 배관작업</t>
    <phoneticPr fontId="1" type="noConversion"/>
  </si>
  <si>
    <t>- 민원댁(삼청로9길 3-17) 벽체 크랙 보수</t>
    <phoneticPr fontId="1" type="noConversion"/>
  </si>
  <si>
    <t>- 지상1층 계단실-2 계단슬라브 거푸집 설치</t>
    <phoneticPr fontId="1" type="noConversion"/>
  </si>
  <si>
    <t>- 지상1층 동측 보 및 슬라브 철근 배근</t>
    <phoneticPr fontId="1" type="noConversion"/>
  </si>
  <si>
    <t>- 지하층 벽체 거푸집 해체 및 정리정돈</t>
    <phoneticPr fontId="1" type="noConversion"/>
  </si>
  <si>
    <t>- 지하층 가설 부재 용단 및 반출 준비</t>
    <phoneticPr fontId="1" type="noConversion"/>
  </si>
  <si>
    <t>- 경흥각 대량 조립(250TON 크레인 반입)</t>
    <phoneticPr fontId="1" type="noConversion"/>
  </si>
  <si>
    <t>- 상량식 준비</t>
    <phoneticPr fontId="1" type="noConversion"/>
  </si>
  <si>
    <t>최저 16℃ / 최고25℃</t>
    <phoneticPr fontId="1" type="noConversion"/>
  </si>
  <si>
    <t>- 민원댁(삼청로9길3-18) 마당 바닥 미장</t>
    <phoneticPr fontId="1" type="noConversion"/>
  </si>
  <si>
    <t>- 경흥각 종량 조립</t>
    <phoneticPr fontId="1" type="noConversion"/>
  </si>
  <si>
    <t>- 지하2층 벽체 면정리</t>
    <phoneticPr fontId="1" type="noConversion"/>
  </si>
  <si>
    <t>RC공사</t>
  </si>
  <si>
    <t>&lt;형틀공사&gt;</t>
  </si>
  <si>
    <t>- 지상1층 동측 슬라브 및 보 거푸집 설치</t>
  </si>
  <si>
    <t>&lt;철근공사&gt;</t>
  </si>
  <si>
    <t>한옥공사</t>
  </si>
  <si>
    <t>- 경흥각 종량 조립</t>
  </si>
  <si>
    <t>전기공사</t>
  </si>
  <si>
    <t>민원공사</t>
  </si>
  <si>
    <t>직영공사</t>
  </si>
  <si>
    <t>- 현장정리정돈</t>
  </si>
  <si>
    <t>- 지하1층 동측 벽체 거푸집 설치</t>
    <phoneticPr fontId="1" type="noConversion"/>
  </si>
  <si>
    <t>- 지하1층 거푸집 해체</t>
    <phoneticPr fontId="1" type="noConversion"/>
  </si>
  <si>
    <t>- 지상1층 북동측 보 및 슬라브 철근 배근</t>
    <phoneticPr fontId="1" type="noConversion"/>
  </si>
  <si>
    <t>- 지하3층 소방전기선 입선</t>
  </si>
  <si>
    <t>- 1층 슬라브박스 위치 표기</t>
  </si>
  <si>
    <t>- 민원댁(삼청로9길 3-12) 옥상 바닥 미장</t>
  </si>
  <si>
    <t>- 지상1층 동여루 하부 계단슬라브 거푸집 설치</t>
    <phoneticPr fontId="1" type="noConversion"/>
  </si>
  <si>
    <t>- 지상1층 서측 코어-1 벽체 철근 배근</t>
    <phoneticPr fontId="1" type="noConversion"/>
  </si>
  <si>
    <t>- 경흥각 도리, 순각판 조립</t>
    <phoneticPr fontId="1" type="noConversion"/>
  </si>
  <si>
    <t>최저 20℃ / 최고23℃</t>
    <phoneticPr fontId="1" type="noConversion"/>
  </si>
  <si>
    <t>최저 18℃ / 최고25℃</t>
    <phoneticPr fontId="1" type="noConversion"/>
  </si>
  <si>
    <t>- 지상1층 동여루 하부 계단 챌판 거푸집 설치</t>
    <phoneticPr fontId="1" type="noConversion"/>
  </si>
  <si>
    <t>- 지상1층 남동측 보 및 슬라브 철근 배근</t>
    <phoneticPr fontId="1" type="noConversion"/>
  </si>
  <si>
    <t>- 지상1층 동측 파라펫 철근 배근</t>
    <phoneticPr fontId="1" type="noConversion"/>
  </si>
  <si>
    <t>- 가설 덧집 설치</t>
    <phoneticPr fontId="1" type="noConversion"/>
  </si>
  <si>
    <t>- 지하1층 가설철골기둥 용단 및 반출</t>
    <phoneticPr fontId="1" type="noConversion"/>
  </si>
  <si>
    <t>- 지상1층 코어-1 벽체 매립배관 설치</t>
    <phoneticPr fontId="1" type="noConversion"/>
  </si>
  <si>
    <t>최저 14℃ / 최고23℃</t>
    <phoneticPr fontId="1" type="noConversion"/>
  </si>
  <si>
    <t>- 지상1층 남동측 슬라브 철근 배근</t>
    <phoneticPr fontId="1" type="noConversion"/>
  </si>
  <si>
    <t>- 지상1층 계단실-2 계단슬라브 철근 배근</t>
    <phoneticPr fontId="1" type="noConversion"/>
  </si>
  <si>
    <t>- 해체 가설철골부재 반출 준비</t>
    <phoneticPr fontId="1" type="noConversion"/>
  </si>
  <si>
    <t>- 지하1층 가설철골기둥 용단 및 반출 준비</t>
    <phoneticPr fontId="1" type="noConversion"/>
  </si>
  <si>
    <t>- 경흥각 추녀 조립</t>
    <phoneticPr fontId="1" type="noConversion"/>
  </si>
  <si>
    <t>- 지상1층 동측 슬라브 철근 배근</t>
    <phoneticPr fontId="1" type="noConversion"/>
  </si>
  <si>
    <t>- 경흥각 평고대, 서까래 설치</t>
    <phoneticPr fontId="1" type="noConversion"/>
  </si>
  <si>
    <t>- 가설 덧집 설치 및 수정</t>
    <phoneticPr fontId="1" type="noConversion"/>
  </si>
  <si>
    <t xml:space="preserve">- 지상1층 동측 슬라브 매립배관 설치 </t>
    <phoneticPr fontId="1" type="noConversion"/>
  </si>
  <si>
    <t>- 지하1층 동측 슬라브 하부 시스템동바리 해체 및 반출</t>
    <phoneticPr fontId="1" type="noConversion"/>
  </si>
  <si>
    <t>- 지상1층 동여루 하부 계단 철근 배근</t>
    <phoneticPr fontId="1" type="noConversion"/>
  </si>
  <si>
    <t>최저 14℃ / 최고26℃</t>
    <phoneticPr fontId="1" type="noConversion"/>
  </si>
  <si>
    <t>- 지상1층 계단실-2 계단 챌판 거푸집 설치</t>
    <phoneticPr fontId="1" type="noConversion"/>
  </si>
  <si>
    <t>- 지상1층 동측 슬라브 파라펫 거푸집 설치</t>
    <phoneticPr fontId="1" type="noConversion"/>
  </si>
  <si>
    <t>- 지상1층 벽체 철근 배근</t>
    <phoneticPr fontId="1" type="noConversion"/>
  </si>
  <si>
    <t>- 해체 가설철골부재 용단 및 반출</t>
    <phoneticPr fontId="1" type="noConversion"/>
  </si>
  <si>
    <t>- 지상1층 동측 슬라브 루프드레인 및 집수정 슬리브 설치</t>
    <phoneticPr fontId="1" type="noConversion"/>
  </si>
  <si>
    <t>- 지하2층 천장 소방전기 입선</t>
    <phoneticPr fontId="1" type="noConversion"/>
  </si>
  <si>
    <t>- 지상1층 동측 잔여슬라브 및 하부 벽체 con'c 타설</t>
    <phoneticPr fontId="1" type="noConversion"/>
  </si>
  <si>
    <t>- 지상1층 남측 외벽 con'c 타설</t>
    <phoneticPr fontId="1" type="noConversion"/>
  </si>
  <si>
    <t>- 지상1층 코어-1 벽체 거푸집 설치</t>
    <phoneticPr fontId="1" type="noConversion"/>
  </si>
  <si>
    <t>- 지하2층 외벽 상하부 조인트 방수</t>
    <phoneticPr fontId="1" type="noConversion"/>
  </si>
  <si>
    <t>- 지상1층 벽체 및 계단슬라브 철근 배근</t>
    <phoneticPr fontId="1" type="noConversion"/>
  </si>
  <si>
    <t>- 지하2층 외벽 면정리 및 조인트 방수</t>
    <phoneticPr fontId="1" type="noConversion"/>
  </si>
  <si>
    <t xml:space="preserve">- 민원인댁(삼청로9길11-3) 방문 해체 및 재설치 </t>
    <phoneticPr fontId="1" type="noConversion"/>
  </si>
  <si>
    <t xml:space="preserve">- 민원인댁(삼청로9길11-3) 방문 재설치 </t>
    <phoneticPr fontId="1" type="noConversion"/>
  </si>
  <si>
    <t>최저 17℃ / 최고26℃</t>
    <phoneticPr fontId="1" type="noConversion"/>
  </si>
  <si>
    <t>- 경흥각 추녀 위치 조정 및 평고대 설치</t>
    <phoneticPr fontId="1" type="noConversion"/>
  </si>
  <si>
    <t>- 지상1층 기둥 거푸집 설치</t>
    <phoneticPr fontId="1" type="noConversion"/>
  </si>
  <si>
    <t>- 지하3층 소방제작배관 반입</t>
    <phoneticPr fontId="1" type="noConversion"/>
  </si>
  <si>
    <t>- 경흥각 평고대 조립, 서까래 설치</t>
    <phoneticPr fontId="1" type="noConversion"/>
  </si>
  <si>
    <t>- 지하2층 외벽 침투성 방수재 도포</t>
    <phoneticPr fontId="1" type="noConversion"/>
  </si>
  <si>
    <t>- 경흥각 평고대 조립</t>
    <phoneticPr fontId="1" type="noConversion"/>
  </si>
  <si>
    <t>- 추녀 먹놓기</t>
    <phoneticPr fontId="1" type="noConversion"/>
  </si>
  <si>
    <t>- 거푸집 해체 및 자재 정리</t>
    <phoneticPr fontId="1" type="noConversion"/>
  </si>
  <si>
    <t>- 지상2층 슬라브 하부 거푸집 설치</t>
    <phoneticPr fontId="1" type="noConversion"/>
  </si>
  <si>
    <t>- 지하3층 소방제작배관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</si>
</sst>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&quot; m3&quot;"/>
    <numFmt numFmtId="178" formatCode="0&quot; %&quot;"/>
    <numFmt numFmtId="179" formatCode="0&quot;공&quot;"/>
    <numFmt numFmtId="180" formatCode="0&quot;대*13=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rgb="FF222222"/>
      <name val="Tahoma"/>
      <family val="2"/>
    </font>
    <font>
      <sz val="10"/>
      <color rgb="FF222222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2" xfId="0" applyBorder="1" applyAlignment="1">
      <alignment horizontal="righ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3" fillId="0" borderId="1" xfId="0" quotePrefix="1" applyFont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3" fillId="0" borderId="9" xfId="0" quotePrefix="1" applyFont="1" applyBorder="1" applyAlignment="1">
      <alignment vertical="center" wrapText="1"/>
    </xf>
    <xf numFmtId="179" fontId="0" fillId="0" borderId="0" xfId="0" applyNumberFormat="1">
      <alignment vertical="center"/>
    </xf>
    <xf numFmtId="0" fontId="0" fillId="0" borderId="2" xfId="0" quotePrefix="1" applyBorder="1" applyAlignment="1">
      <alignment horizontal="center" vertical="center"/>
    </xf>
    <xf numFmtId="180" fontId="0" fillId="0" borderId="0" xfId="0" applyNumberFormat="1" applyAlignment="1">
      <alignment horizontal="left" vertical="center"/>
    </xf>
    <xf numFmtId="0" fontId="0" fillId="0" borderId="1" xfId="0" quotePrefix="1" applyBorder="1">
      <alignment vertical="center"/>
    </xf>
    <xf numFmtId="0" fontId="4" fillId="0" borderId="13" xfId="0" quotePrefix="1" applyFont="1" applyBorder="1" applyAlignment="1">
      <alignment vertical="center" wrapText="1"/>
    </xf>
    <xf numFmtId="0" fontId="4" fillId="0" borderId="3" xfId="0" quotePrefix="1" applyFont="1" applyBorder="1" applyAlignment="1">
      <alignment vertical="center" wrapText="1"/>
    </xf>
    <xf numFmtId="0" fontId="4" fillId="0" borderId="12" xfId="0" quotePrefix="1" applyFont="1" applyBorder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2" xfId="0" quotePrefix="1" applyBorder="1" applyAlignment="1">
      <alignment vertical="center" wrapText="1"/>
    </xf>
    <xf numFmtId="0" fontId="0" fillId="0" borderId="13" xfId="0" quotePrefix="1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9" xfId="0" quotePrefix="1" applyBorder="1" applyAlignment="1">
      <alignment vertical="center" wrapText="1"/>
    </xf>
    <xf numFmtId="0" fontId="5" fillId="0" borderId="1" xfId="0" quotePrefix="1" applyFont="1" applyBorder="1">
      <alignment vertical="center"/>
    </xf>
    <xf numFmtId="0" fontId="6" fillId="0" borderId="1" xfId="0" quotePrefix="1" applyFont="1" applyBorder="1">
      <alignment vertical="center"/>
    </xf>
    <xf numFmtId="0" fontId="7" fillId="0" borderId="1" xfId="0" quotePrefix="1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8" xfId="0" quotePrefix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9" xfId="0" quotePrefix="1" applyFont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AB5475-FDE6-41BA-928B-82B9A2441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BE5FC9-691E-4A25-B771-E4B523112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639B8E-AC1F-4FB6-B134-9AA85D617D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2CFD35-E81B-4843-B67F-BA918D3DFE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457AD5-2ABF-4B2F-90C5-83ED73DFA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D2E23D1-C7F6-4846-8F70-394069771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62DDF20-35FA-4F8D-ACDD-6D6C8FE218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F46045B-9A27-4026-9727-40801C971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CAEF35-59FA-4ADA-AF16-E89429A04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C10743D-B3A2-4767-8315-108970F11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C978973-1EBD-4D73-921B-B0EEAEA9D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465687A-265C-47E0-A98B-FFEB0527A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ACB596-D5D4-4BF3-9456-8A7DFE975A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0B6B82B-5B79-4306-AF42-534DECFE5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4EFE51D-9E02-4BA0-B140-14BC91020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6BDFDE-0B5C-4D0A-9BD5-8EFDBAFEB7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65BDF3-07C2-4FB5-87F0-B03A258A8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4704E81-05E9-4992-9EB2-F2DC8B6BA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CA9386A-A0D8-42B5-AA16-BFC0DF9C8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825C19-C959-4CFC-8C87-E95EC93A7A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CD18506-3019-46DC-8169-815A45F54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B5BE6B2-5945-4C87-B241-5FAC799E50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C55217-9087-4B72-A089-F8240C365C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F76A6C-B04E-4E09-A4E9-0267390F63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005FCE-8E5D-420B-A8F8-E733C6F24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D4352B3-EC85-4EEA-8FBA-9845AF7D55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7E0409-9EB4-41C2-9A47-ABBD4C553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0356C4-F826-4609-B1AA-800BD05784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348D16-4DD6-4D27-B119-C68689878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2B1E4A3-3E14-45A8-95F8-60FDC63BD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188FB8-8858-4123-AB42-13F686219B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DAFDCE-C2A5-4A49-A7E5-CB2E19B91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5D95A0-FCA6-4A72-A06B-80E452F20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787CCA-7CFA-4446-ABC2-94D207F1A4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67896F-46A4-4038-8DFA-474270ACE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BA65B4-DDB3-4829-9FC6-7297FCA1B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F07719-83DB-4387-9299-D5A0E339B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70E81F0-C7DB-4AEC-8D07-C351D7455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AA84ED-F37C-4D50-9166-A842DDF021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4D07A88-8B2B-4433-AFAF-1B698D784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753B68-2C97-4998-B3EB-7A401DCA6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872EFD-3635-461B-8D3E-8CC06D94A0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EBF335D-700E-452D-9BFF-21B173426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F963829-B3DA-42AF-8446-4FA84D26F1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E01ADB-1607-4736-AF95-D4006BFAF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DFCC149-358B-46CA-AD98-7F80BFF33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2A4ABC-87A3-4D81-8276-DF977973E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A750D5-FEF6-462C-BEC1-4A4DF3AC3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060501-1732-4C44-8F86-B2802078CB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4A9012-CCD1-4790-B7EC-0D108CEA2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087E61-71AC-4BAB-B4B6-427F273EC2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B34A444-1CA1-421D-BBA9-C7B2D6578E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5FBF48-486A-45E5-BF70-EAB145F32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5FC6E19-20CA-43F1-AB29-82082634E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6B5154-EE0D-43B7-808A-2996A1A41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236941-1881-4FEF-80EF-0861D0EA7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06B11A-553A-4518-9301-2903C9332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67559A2-9DF5-4652-8AEB-AA810B502D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212550</xdr:colOff>
      <xdr:row>3</xdr:row>
      <xdr:rowOff>27214</xdr:rowOff>
    </xdr:from>
    <xdr:to>
      <xdr:col>17</xdr:col>
      <xdr:colOff>474807</xdr:colOff>
      <xdr:row>4</xdr:row>
      <xdr:rowOff>437291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79423A-05A4-49E7-ADB1-31A5964131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84" t="15399" r="28181" b="14446"/>
        <a:stretch/>
      </xdr:blipFill>
      <xdr:spPr>
        <a:xfrm>
          <a:off x="10775775" y="1160689"/>
          <a:ext cx="995682" cy="914902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</xdr:row>
      <xdr:rowOff>285006</xdr:rowOff>
    </xdr:from>
    <xdr:to>
      <xdr:col>15</xdr:col>
      <xdr:colOff>664959</xdr:colOff>
      <xdr:row>4</xdr:row>
      <xdr:rowOff>246305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7D7A33-CFDB-4C93-ACBF-8AD9D38BD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6" t="21736" r="14974" b="20299"/>
        <a:stretch/>
      </xdr:blipFill>
      <xdr:spPr>
        <a:xfrm>
          <a:off x="9264464" y="1418481"/>
          <a:ext cx="1230295" cy="46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43D9-59A0-470A-BAE1-08344ABEF01D}">
  <sheetPr>
    <pageSetUpPr fitToPage="1"/>
  </sheetPr>
  <dimension ref="A1:Y83"/>
  <sheetViews>
    <sheetView view="pageBreakPreview" topLeftCell="A28" zoomScaleNormal="70" zoomScaleSheetLayoutView="100" workbookViewId="0">
      <selection activeCell="J12" sqref="J12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45414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139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140</v>
      </c>
      <c r="G9" s="6"/>
      <c r="H9" s="38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150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2336</v>
      </c>
      <c r="Q10" s="4">
        <v>6</v>
      </c>
      <c r="R10" s="4">
        <f>P10+Q10</f>
        <v>2342</v>
      </c>
    </row>
    <row r="11" spans="1:18" ht="24" customHeight="1" x14ac:dyDescent="0.3">
      <c r="A11" s="13"/>
      <c r="B11" s="28" t="s">
        <v>126</v>
      </c>
      <c r="C11" s="14"/>
      <c r="G11" s="6"/>
      <c r="H11" s="33"/>
      <c r="I11" s="14"/>
      <c r="K11" s="6"/>
      <c r="M11" s="2" t="s">
        <v>20</v>
      </c>
      <c r="N11" s="48" t="s">
        <v>19</v>
      </c>
      <c r="O11" s="49"/>
      <c r="P11" s="4">
        <v>1181</v>
      </c>
      <c r="Q11" s="4">
        <v>7</v>
      </c>
      <c r="R11" s="4">
        <f t="shared" ref="R11:R28" si="0">P11+Q11</f>
        <v>1188</v>
      </c>
    </row>
    <row r="12" spans="1:18" ht="24" customHeight="1" x14ac:dyDescent="0.3">
      <c r="A12" s="13"/>
      <c r="B12" s="28" t="s">
        <v>142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147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369</v>
      </c>
      <c r="Q13" s="4">
        <v>3</v>
      </c>
      <c r="R13" s="4">
        <f t="shared" si="0"/>
        <v>372</v>
      </c>
    </row>
    <row r="14" spans="1:18" ht="24" customHeight="1" x14ac:dyDescent="0.3">
      <c r="A14" s="13"/>
      <c r="B14" s="28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136</v>
      </c>
      <c r="B15" s="28" t="s">
        <v>148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127</v>
      </c>
      <c r="B16" s="28" t="s">
        <v>141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5649</v>
      </c>
      <c r="Q16" s="4">
        <v>48</v>
      </c>
      <c r="R16" s="4">
        <f t="shared" si="0"/>
        <v>5697</v>
      </c>
    </row>
    <row r="17" spans="1:25" ht="24" customHeight="1" x14ac:dyDescent="0.3">
      <c r="A17" s="13" t="s">
        <v>135</v>
      </c>
      <c r="B17" s="28" t="s">
        <v>149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1180</v>
      </c>
      <c r="Q17" s="4">
        <v>5</v>
      </c>
      <c r="R17" s="4">
        <f>P17+Q17</f>
        <v>1185</v>
      </c>
    </row>
    <row r="18" spans="1:25" ht="24" customHeight="1" x14ac:dyDescent="0.3">
      <c r="A18" s="13" t="s">
        <v>137</v>
      </c>
      <c r="B18" s="28" t="s">
        <v>146</v>
      </c>
      <c r="G18" s="6"/>
      <c r="H18" s="3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100</v>
      </c>
      <c r="B19" s="28" t="s">
        <v>105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24</v>
      </c>
      <c r="Q20" s="4">
        <v>3</v>
      </c>
      <c r="R20" s="4">
        <f>P20+Q20</f>
        <v>27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140</v>
      </c>
      <c r="G25" s="6"/>
      <c r="K25" s="6"/>
      <c r="M25" s="2" t="s">
        <v>45</v>
      </c>
      <c r="N25" s="48" t="s">
        <v>46</v>
      </c>
      <c r="O25" s="49"/>
      <c r="P25" s="4">
        <v>160</v>
      </c>
      <c r="Q25" s="4">
        <v>10</v>
      </c>
      <c r="R25" s="4">
        <f t="shared" si="0"/>
        <v>170</v>
      </c>
    </row>
    <row r="26" spans="1:25" ht="24" customHeight="1" x14ac:dyDescent="0.3">
      <c r="A26" s="13"/>
      <c r="B26" s="28" t="s">
        <v>151</v>
      </c>
      <c r="C26" s="14"/>
      <c r="G26" s="6"/>
      <c r="K26" s="6"/>
      <c r="M26" s="2" t="s">
        <v>117</v>
      </c>
      <c r="N26" s="48" t="s">
        <v>118</v>
      </c>
      <c r="O26" s="49"/>
      <c r="P26" s="4">
        <v>55</v>
      </c>
      <c r="Q26" s="4"/>
      <c r="R26" s="4">
        <f t="shared" si="0"/>
        <v>55</v>
      </c>
    </row>
    <row r="27" spans="1:25" ht="24" customHeight="1" x14ac:dyDescent="0.3">
      <c r="A27" s="13"/>
      <c r="B27" s="28" t="s">
        <v>152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142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153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 t="s">
        <v>154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127</v>
      </c>
      <c r="B34" s="28" t="s">
        <v>141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137</v>
      </c>
      <c r="B36" s="28" t="s">
        <v>146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5968</v>
      </c>
      <c r="E42" s="15"/>
      <c r="F42" s="15">
        <f>D42+E42</f>
        <v>5968</v>
      </c>
      <c r="G42" s="2" t="s">
        <v>55</v>
      </c>
      <c r="H42" s="2" t="s">
        <v>56</v>
      </c>
      <c r="I42" s="15">
        <v>37</v>
      </c>
      <c r="J42" s="15">
        <v>1</v>
      </c>
      <c r="K42" s="15">
        <f>I42+J42</f>
        <v>38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1956.4059999999999</v>
      </c>
      <c r="E43" s="15"/>
      <c r="F43" s="15">
        <f t="shared" ref="F43:F49" si="1">D43+E43</f>
        <v>1956.4059999999999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5870.4249999999975</v>
      </c>
      <c r="E44" s="15"/>
      <c r="F44" s="15">
        <f t="shared" si="1"/>
        <v>5870.4249999999975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13900</v>
      </c>
      <c r="Q47" s="4">
        <f>SUM(Q10:Q46)</f>
        <v>82</v>
      </c>
      <c r="R47" s="4">
        <f>SUM(R10:R46)</f>
        <v>13982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</v>
      </c>
      <c r="J50" s="15">
        <v>1</v>
      </c>
      <c r="K50" s="15">
        <f t="shared" si="2"/>
        <v>2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444</v>
      </c>
      <c r="J54" s="15">
        <v>2</v>
      </c>
      <c r="K54" s="15">
        <f t="shared" si="2"/>
        <v>446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ref="K74" si="8">I74+J74</f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9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9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9BE8-F695-4BC4-8C6D-A8EDFB352C2E}">
  <sheetPr>
    <pageSetUpPr fitToPage="1"/>
  </sheetPr>
  <dimension ref="A1:Y83"/>
  <sheetViews>
    <sheetView view="pageBreakPreview" zoomScaleNormal="70" zoomScaleSheetLayoutView="100" workbookViewId="0">
      <selection activeCell="E13" sqref="E13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45415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155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140</v>
      </c>
      <c r="G9" s="6"/>
      <c r="H9" s="38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151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2342</v>
      </c>
      <c r="Q10" s="4">
        <v>6</v>
      </c>
      <c r="R10" s="4">
        <f>P10+Q10</f>
        <v>2348</v>
      </c>
    </row>
    <row r="11" spans="1:18" ht="24" customHeight="1" x14ac:dyDescent="0.3">
      <c r="A11" s="13"/>
      <c r="B11" s="28" t="s">
        <v>152</v>
      </c>
      <c r="C11" s="14"/>
      <c r="G11" s="6"/>
      <c r="H11" s="33"/>
      <c r="I11" s="14"/>
      <c r="K11" s="6"/>
      <c r="M11" s="2" t="s">
        <v>20</v>
      </c>
      <c r="N11" s="48" t="s">
        <v>19</v>
      </c>
      <c r="O11" s="49"/>
      <c r="P11" s="4">
        <v>1188</v>
      </c>
      <c r="Q11" s="4">
        <v>7</v>
      </c>
      <c r="R11" s="4">
        <f t="shared" ref="R11:R28" si="0">P11+Q11</f>
        <v>1195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142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372</v>
      </c>
      <c r="Q13" s="4">
        <v>2</v>
      </c>
      <c r="R13" s="4">
        <f t="shared" si="0"/>
        <v>374</v>
      </c>
    </row>
    <row r="14" spans="1:18" ht="24" customHeight="1" x14ac:dyDescent="0.3">
      <c r="A14" s="13"/>
      <c r="B14" s="28" t="s">
        <v>156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136</v>
      </c>
      <c r="B16" s="28" t="s">
        <v>153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5697</v>
      </c>
      <c r="Q16" s="4">
        <v>58</v>
      </c>
      <c r="R16" s="4">
        <f t="shared" si="0"/>
        <v>5755</v>
      </c>
    </row>
    <row r="17" spans="1:25" ht="24" customHeight="1" x14ac:dyDescent="0.3">
      <c r="A17" s="13"/>
      <c r="B17" s="28" t="s">
        <v>161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1185</v>
      </c>
      <c r="Q17" s="4">
        <v>5</v>
      </c>
      <c r="R17" s="4">
        <f>P17+Q17</f>
        <v>1190</v>
      </c>
    </row>
    <row r="18" spans="1:25" ht="24" customHeight="1" x14ac:dyDescent="0.3">
      <c r="A18" s="13"/>
      <c r="B18" s="28" t="s">
        <v>154</v>
      </c>
      <c r="G18" s="6"/>
      <c r="H18" s="3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158</v>
      </c>
      <c r="B19" s="28" t="s">
        <v>159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127</v>
      </c>
      <c r="B20" s="28" t="s">
        <v>141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 t="s">
        <v>137</v>
      </c>
      <c r="B21" s="28" t="s">
        <v>146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151</v>
      </c>
      <c r="G25" s="6"/>
      <c r="K25" s="6"/>
      <c r="M25" s="2" t="s">
        <v>45</v>
      </c>
      <c r="N25" s="48" t="s">
        <v>46</v>
      </c>
      <c r="O25" s="49"/>
      <c r="P25" s="4">
        <v>170</v>
      </c>
      <c r="Q25" s="4">
        <v>11</v>
      </c>
      <c r="R25" s="4">
        <f t="shared" si="0"/>
        <v>181</v>
      </c>
    </row>
    <row r="26" spans="1:25" ht="24" customHeight="1" x14ac:dyDescent="0.3">
      <c r="A26" s="13"/>
      <c r="B26" s="28" t="s">
        <v>152</v>
      </c>
      <c r="C26" s="14"/>
      <c r="G26" s="6"/>
      <c r="K26" s="6"/>
      <c r="M26" s="2" t="s">
        <v>117</v>
      </c>
      <c r="N26" s="48" t="s">
        <v>118</v>
      </c>
      <c r="O26" s="49"/>
      <c r="P26" s="4">
        <v>55</v>
      </c>
      <c r="Q26" s="4">
        <v>6</v>
      </c>
      <c r="R26" s="4">
        <f t="shared" si="0"/>
        <v>61</v>
      </c>
    </row>
    <row r="27" spans="1:25" ht="24" customHeight="1" x14ac:dyDescent="0.3">
      <c r="A27" s="13"/>
      <c r="B27" s="28" t="s">
        <v>157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142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 t="s">
        <v>156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136</v>
      </c>
      <c r="B32" s="28" t="s">
        <v>160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 t="s">
        <v>161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158</v>
      </c>
      <c r="B34" s="28" t="s">
        <v>159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127</v>
      </c>
      <c r="B35" s="28" t="s">
        <v>141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137</v>
      </c>
      <c r="B36" s="28" t="s">
        <v>146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5968</v>
      </c>
      <c r="E42" s="15"/>
      <c r="F42" s="15">
        <f>D42+E42</f>
        <v>5968</v>
      </c>
      <c r="G42" s="2" t="s">
        <v>55</v>
      </c>
      <c r="H42" s="2" t="s">
        <v>56</v>
      </c>
      <c r="I42" s="15">
        <v>38</v>
      </c>
      <c r="J42" s="15">
        <v>1</v>
      </c>
      <c r="K42" s="15">
        <f>I42+J42</f>
        <v>39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1956.4059999999999</v>
      </c>
      <c r="E43" s="15"/>
      <c r="F43" s="15">
        <f t="shared" ref="F43:F49" si="1">D43+E43</f>
        <v>1956.4059999999999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5870.4249999999975</v>
      </c>
      <c r="E44" s="15"/>
      <c r="F44" s="15">
        <f t="shared" si="1"/>
        <v>5870.4249999999975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13982</v>
      </c>
      <c r="Q47" s="4">
        <f>SUM(Q10:Q46)</f>
        <v>95</v>
      </c>
      <c r="R47" s="4">
        <f>SUM(R10:R46)</f>
        <v>14077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</v>
      </c>
      <c r="J50" s="15">
        <v>1</v>
      </c>
      <c r="K50" s="15">
        <f t="shared" si="2"/>
        <v>3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446</v>
      </c>
      <c r="J54" s="15">
        <v>2</v>
      </c>
      <c r="K54" s="15">
        <f t="shared" si="2"/>
        <v>448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4520-526F-4EE2-82CF-BEABB6781CCA}">
  <sheetPr>
    <pageSetUpPr fitToPage="1"/>
  </sheetPr>
  <dimension ref="A1:Y83"/>
  <sheetViews>
    <sheetView view="pageBreakPreview" zoomScaleNormal="70" zoomScaleSheetLayoutView="100" workbookViewId="0">
      <selection activeCell="J11" sqref="J11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45416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155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38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152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2348</v>
      </c>
      <c r="Q10" s="4">
        <v>6</v>
      </c>
      <c r="R10" s="4">
        <f>P10+Q10</f>
        <v>2354</v>
      </c>
    </row>
    <row r="11" spans="1:18" ht="24" customHeight="1" x14ac:dyDescent="0.3">
      <c r="A11" s="13"/>
      <c r="B11" s="28" t="s">
        <v>157</v>
      </c>
      <c r="C11" s="14"/>
      <c r="G11" s="6"/>
      <c r="H11" s="33"/>
      <c r="I11" s="14"/>
      <c r="K11" s="6"/>
      <c r="M11" s="2" t="s">
        <v>20</v>
      </c>
      <c r="N11" s="48" t="s">
        <v>19</v>
      </c>
      <c r="O11" s="49"/>
      <c r="P11" s="4">
        <v>1195</v>
      </c>
      <c r="Q11" s="4">
        <v>9</v>
      </c>
      <c r="R11" s="4">
        <f t="shared" ref="R11:R28" si="0">P11+Q11</f>
        <v>1204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142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374</v>
      </c>
      <c r="Q13" s="4">
        <v>5</v>
      </c>
      <c r="R13" s="4">
        <f t="shared" si="0"/>
        <v>379</v>
      </c>
    </row>
    <row r="14" spans="1:18" ht="24" customHeight="1" x14ac:dyDescent="0.3">
      <c r="A14" s="13"/>
      <c r="B14" s="28" t="s">
        <v>163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136</v>
      </c>
      <c r="B15" s="28" t="s">
        <v>164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 t="s">
        <v>161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5755</v>
      </c>
      <c r="Q16" s="4">
        <v>46</v>
      </c>
      <c r="R16" s="4">
        <f t="shared" si="0"/>
        <v>5801</v>
      </c>
    </row>
    <row r="17" spans="1:25" ht="24" customHeight="1" x14ac:dyDescent="0.3">
      <c r="A17" s="13"/>
      <c r="B17" s="28" t="s">
        <v>166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1190</v>
      </c>
      <c r="Q17" s="4">
        <v>4</v>
      </c>
      <c r="R17" s="4">
        <f>P17+Q17</f>
        <v>1194</v>
      </c>
    </row>
    <row r="18" spans="1:25" ht="24" customHeight="1" x14ac:dyDescent="0.3">
      <c r="A18" s="13"/>
      <c r="B18" s="28" t="s">
        <v>165</v>
      </c>
      <c r="G18" s="6"/>
      <c r="H18" s="3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127</v>
      </c>
      <c r="B19" s="28" t="s">
        <v>167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137</v>
      </c>
      <c r="B20" s="28" t="s">
        <v>146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 t="s">
        <v>100</v>
      </c>
      <c r="B21" s="28" t="s">
        <v>105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181</v>
      </c>
      <c r="Q25" s="4">
        <v>8</v>
      </c>
      <c r="R25" s="4">
        <f t="shared" si="0"/>
        <v>189</v>
      </c>
    </row>
    <row r="26" spans="1:25" ht="24" customHeight="1" x14ac:dyDescent="0.3">
      <c r="A26" s="13"/>
      <c r="B26" s="28" t="s">
        <v>152</v>
      </c>
      <c r="C26" s="14"/>
      <c r="G26" s="6"/>
      <c r="K26" s="6"/>
      <c r="M26" s="2" t="s">
        <v>117</v>
      </c>
      <c r="N26" s="48" t="s">
        <v>118</v>
      </c>
      <c r="O26" s="49"/>
      <c r="P26" s="4">
        <v>61</v>
      </c>
      <c r="Q26" s="4"/>
      <c r="R26" s="4">
        <f t="shared" si="0"/>
        <v>61</v>
      </c>
    </row>
    <row r="27" spans="1:25" ht="24" customHeight="1" x14ac:dyDescent="0.3">
      <c r="A27" s="13"/>
      <c r="B27" s="28" t="s">
        <v>157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168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126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 t="s">
        <v>142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 t="s">
        <v>163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 t="s">
        <v>169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137</v>
      </c>
      <c r="B34" s="28" t="s">
        <v>146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5968</v>
      </c>
      <c r="E42" s="15"/>
      <c r="F42" s="15">
        <f>D42+E42</f>
        <v>5968</v>
      </c>
      <c r="G42" s="2" t="s">
        <v>55</v>
      </c>
      <c r="H42" s="2" t="s">
        <v>56</v>
      </c>
      <c r="I42" s="15">
        <v>39</v>
      </c>
      <c r="J42" s="15">
        <v>1</v>
      </c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1956.4059999999999</v>
      </c>
      <c r="E43" s="15">
        <v>3.7639999999999998</v>
      </c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5870.4249999999975</v>
      </c>
      <c r="E44" s="15">
        <v>5.73</v>
      </c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14077</v>
      </c>
      <c r="Q47" s="4">
        <f>SUM(Q10:Q46)</f>
        <v>78</v>
      </c>
      <c r="R47" s="4">
        <f>SUM(R10:R46)</f>
        <v>14155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3</v>
      </c>
      <c r="J50" s="15">
        <v>1</v>
      </c>
      <c r="K50" s="15">
        <f t="shared" si="2"/>
        <v>4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448</v>
      </c>
      <c r="J54" s="15">
        <v>2</v>
      </c>
      <c r="K54" s="15">
        <f t="shared" si="2"/>
        <v>450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8CD8-2AE7-4841-9565-97E4562BE781}">
  <sheetPr>
    <pageSetUpPr fitToPage="1"/>
  </sheetPr>
  <dimension ref="A1:Y83"/>
  <sheetViews>
    <sheetView view="pageBreakPreview" topLeftCell="A5" zoomScaleNormal="70" zoomScaleSheetLayoutView="100" workbookViewId="0">
      <selection activeCell="H21" sqref="H21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45417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170</v>
      </c>
      <c r="E5" s="58"/>
      <c r="F5" s="58"/>
      <c r="G5" s="58"/>
      <c r="H5" s="58" t="s">
        <v>171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41" t="s">
        <v>162</v>
      </c>
      <c r="G9" s="6"/>
      <c r="H9" s="14" t="s">
        <v>173</v>
      </c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42" t="s">
        <v>152</v>
      </c>
      <c r="C10" s="14"/>
      <c r="G10" s="6"/>
      <c r="H10" s="14" t="s">
        <v>173</v>
      </c>
      <c r="J10" s="16"/>
      <c r="K10" s="6"/>
      <c r="M10" s="2" t="s">
        <v>18</v>
      </c>
      <c r="N10" s="48" t="s">
        <v>19</v>
      </c>
      <c r="O10" s="49"/>
      <c r="P10" s="4">
        <v>2354</v>
      </c>
      <c r="Q10" s="4">
        <v>3</v>
      </c>
      <c r="R10" s="4">
        <f>P10+Q10</f>
        <v>2357</v>
      </c>
    </row>
    <row r="11" spans="1:18" ht="24" customHeight="1" x14ac:dyDescent="0.3">
      <c r="A11" s="13"/>
      <c r="B11" s="42" t="s">
        <v>157</v>
      </c>
      <c r="C11" s="14"/>
      <c r="G11" s="6"/>
      <c r="H11" s="14" t="s">
        <v>173</v>
      </c>
      <c r="I11" s="14"/>
      <c r="K11" s="6"/>
      <c r="M11" s="2" t="s">
        <v>20</v>
      </c>
      <c r="N11" s="48" t="s">
        <v>19</v>
      </c>
      <c r="O11" s="49"/>
      <c r="P11" s="4">
        <v>1204</v>
      </c>
      <c r="Q11" s="4">
        <v>3</v>
      </c>
      <c r="R11" s="4">
        <f t="shared" ref="R11:R28" si="0">P11+Q11</f>
        <v>1207</v>
      </c>
    </row>
    <row r="12" spans="1:18" ht="24" customHeight="1" x14ac:dyDescent="0.3">
      <c r="A12" s="13"/>
      <c r="B12" s="28" t="s">
        <v>168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126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379</v>
      </c>
      <c r="Q13" s="4"/>
      <c r="R13" s="4">
        <f t="shared" si="0"/>
        <v>379</v>
      </c>
    </row>
    <row r="14" spans="1:18" ht="24" customHeight="1" x14ac:dyDescent="0.3">
      <c r="A14" s="13"/>
      <c r="B14" s="41" t="s">
        <v>142</v>
      </c>
      <c r="E14" s="32"/>
      <c r="G14" s="6"/>
      <c r="H14" s="14" t="s">
        <v>173</v>
      </c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42" t="s">
        <v>163</v>
      </c>
      <c r="G15" s="6"/>
      <c r="H15" s="14" t="s">
        <v>173</v>
      </c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 t="s">
        <v>169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5801</v>
      </c>
      <c r="Q16" s="4">
        <v>22</v>
      </c>
      <c r="R16" s="4">
        <f t="shared" si="0"/>
        <v>5823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1194</v>
      </c>
      <c r="Q17" s="4"/>
      <c r="R17" s="4">
        <f>P17+Q17</f>
        <v>1194</v>
      </c>
    </row>
    <row r="18" spans="1:25" ht="24" customHeight="1" x14ac:dyDescent="0.3">
      <c r="A18" s="13" t="s">
        <v>137</v>
      </c>
      <c r="B18" s="41" t="s">
        <v>146</v>
      </c>
      <c r="G18" s="6"/>
      <c r="H18" s="14" t="s">
        <v>173</v>
      </c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/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100</v>
      </c>
      <c r="B20" s="28" t="s">
        <v>105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/>
      <c r="B21" s="28" t="s">
        <v>172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189</v>
      </c>
      <c r="Q25" s="4"/>
      <c r="R25" s="4">
        <f t="shared" si="0"/>
        <v>189</v>
      </c>
    </row>
    <row r="26" spans="1:25" ht="24" customHeight="1" x14ac:dyDescent="0.3">
      <c r="A26" s="13"/>
      <c r="B26" s="28" t="s">
        <v>152</v>
      </c>
      <c r="C26" s="14"/>
      <c r="G26" s="6"/>
      <c r="K26" s="6"/>
      <c r="M26" s="2" t="s">
        <v>117</v>
      </c>
      <c r="N26" s="48" t="s">
        <v>118</v>
      </c>
      <c r="O26" s="49"/>
      <c r="P26" s="4">
        <v>61</v>
      </c>
      <c r="Q26" s="4"/>
      <c r="R26" s="4">
        <f t="shared" si="0"/>
        <v>61</v>
      </c>
    </row>
    <row r="27" spans="1:25" ht="24" customHeight="1" x14ac:dyDescent="0.3">
      <c r="A27" s="13"/>
      <c r="B27" s="28" t="s">
        <v>157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142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 t="s">
        <v>163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127</v>
      </c>
      <c r="B32" s="28" t="s">
        <v>174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137</v>
      </c>
      <c r="B34" s="28" t="s">
        <v>146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5968</v>
      </c>
      <c r="E42" s="15"/>
      <c r="F42" s="15">
        <f>D42+E42</f>
        <v>5968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14155</v>
      </c>
      <c r="Q47" s="4">
        <f>SUM(Q10:Q46)</f>
        <v>28</v>
      </c>
      <c r="R47" s="4">
        <f>SUM(R10:R46)</f>
        <v>14183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4</v>
      </c>
      <c r="J50" s="15">
        <v>1</v>
      </c>
      <c r="K50" s="15">
        <f t="shared" si="2"/>
        <v>5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450</v>
      </c>
      <c r="J54" s="15">
        <v>2</v>
      </c>
      <c r="K54" s="15">
        <f t="shared" si="2"/>
        <v>452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EC76-40CC-4D45-BC3D-4098FBDE5C15}">
  <sheetPr>
    <pageSetUpPr fitToPage="1"/>
  </sheetPr>
  <dimension ref="A1:Y83"/>
  <sheetViews>
    <sheetView view="pageBreakPreview" topLeftCell="A7" zoomScaleNormal="70" zoomScaleSheetLayoutView="100" workbookViewId="0">
      <selection activeCell="J15" sqref="J15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45418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170</v>
      </c>
      <c r="E5" s="58"/>
      <c r="F5" s="58"/>
      <c r="G5" s="58"/>
      <c r="H5" s="58" t="s">
        <v>175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152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2357</v>
      </c>
      <c r="Q10" s="4">
        <v>2</v>
      </c>
      <c r="R10" s="4">
        <f>P10+Q10</f>
        <v>2359</v>
      </c>
    </row>
    <row r="11" spans="1:18" ht="24" customHeight="1" x14ac:dyDescent="0.3">
      <c r="A11" s="13"/>
      <c r="B11" s="28" t="s">
        <v>157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1207</v>
      </c>
      <c r="Q11" s="4">
        <v>8</v>
      </c>
      <c r="R11" s="4">
        <f t="shared" ref="R11:R28" si="0">P11+Q11</f>
        <v>1215</v>
      </c>
    </row>
    <row r="12" spans="1:18" ht="24" customHeight="1" x14ac:dyDescent="0.3">
      <c r="A12" s="13"/>
      <c r="B12" s="41" t="s">
        <v>126</v>
      </c>
      <c r="G12" s="6"/>
      <c r="H12" s="14" t="s">
        <v>173</v>
      </c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42" t="s">
        <v>142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379</v>
      </c>
      <c r="Q13" s="4">
        <v>3</v>
      </c>
      <c r="R13" s="4">
        <f t="shared" si="0"/>
        <v>382</v>
      </c>
    </row>
    <row r="14" spans="1:18" ht="24" customHeight="1" x14ac:dyDescent="0.3">
      <c r="A14" s="13"/>
      <c r="B14" s="42" t="s">
        <v>163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127</v>
      </c>
      <c r="B16" s="28" t="s">
        <v>174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5823</v>
      </c>
      <c r="Q16" s="4">
        <v>34</v>
      </c>
      <c r="R16" s="4">
        <f t="shared" si="0"/>
        <v>5857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1194</v>
      </c>
      <c r="Q17" s="4"/>
      <c r="R17" s="4">
        <f>P17+Q17</f>
        <v>1194</v>
      </c>
    </row>
    <row r="18" spans="1:25" ht="24" customHeight="1" x14ac:dyDescent="0.3">
      <c r="A18" s="13" t="s">
        <v>137</v>
      </c>
      <c r="B18" s="41" t="s">
        <v>146</v>
      </c>
      <c r="G18" s="6"/>
      <c r="H18" s="14" t="s">
        <v>173</v>
      </c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/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100</v>
      </c>
      <c r="B20" s="28" t="s">
        <v>105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/>
      <c r="B21" s="28" t="s">
        <v>172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176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177</v>
      </c>
      <c r="G25" s="6"/>
      <c r="K25" s="6"/>
      <c r="M25" s="2" t="s">
        <v>45</v>
      </c>
      <c r="N25" s="48" t="s">
        <v>46</v>
      </c>
      <c r="O25" s="49"/>
      <c r="P25" s="4">
        <v>189</v>
      </c>
      <c r="Q25" s="4"/>
      <c r="R25" s="4">
        <f t="shared" si="0"/>
        <v>189</v>
      </c>
    </row>
    <row r="26" spans="1:25" ht="24" customHeight="1" x14ac:dyDescent="0.3">
      <c r="A26" s="13"/>
      <c r="B26" s="28" t="s">
        <v>125</v>
      </c>
      <c r="C26" s="14"/>
      <c r="G26" s="6"/>
      <c r="K26" s="6"/>
      <c r="M26" s="2" t="s">
        <v>117</v>
      </c>
      <c r="N26" s="48" t="s">
        <v>118</v>
      </c>
      <c r="O26" s="49"/>
      <c r="P26" s="4">
        <v>61</v>
      </c>
      <c r="Q26" s="4"/>
      <c r="R26" s="4">
        <f t="shared" si="0"/>
        <v>61</v>
      </c>
    </row>
    <row r="27" spans="1:25" ht="24" customHeight="1" x14ac:dyDescent="0.3">
      <c r="A27" s="13"/>
      <c r="B27" s="28" t="s">
        <v>162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157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126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43" t="s">
        <v>142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43" t="s">
        <v>163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158</v>
      </c>
      <c r="B33" s="28" t="s">
        <v>159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127</v>
      </c>
      <c r="B34" s="28" t="s">
        <v>174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137</v>
      </c>
      <c r="B35" s="28" t="s">
        <v>146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5968</v>
      </c>
      <c r="E42" s="15"/>
      <c r="F42" s="15">
        <f>D42+E42</f>
        <v>5968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14183</v>
      </c>
      <c r="Q47" s="4">
        <f>SUM(Q10:Q46)</f>
        <v>47</v>
      </c>
      <c r="R47" s="4">
        <f>SUM(R10:R46)</f>
        <v>14230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5</v>
      </c>
      <c r="J50" s="15">
        <v>1</v>
      </c>
      <c r="K50" s="15">
        <f t="shared" si="2"/>
        <v>6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452</v>
      </c>
      <c r="J54" s="15">
        <v>2</v>
      </c>
      <c r="K54" s="15">
        <f t="shared" si="2"/>
        <v>454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FE84-C776-4EE6-8325-9657E77E9734}">
  <sheetPr>
    <pageSetUpPr fitToPage="1"/>
  </sheetPr>
  <dimension ref="A1:Y83"/>
  <sheetViews>
    <sheetView view="pageBreakPreview" topLeftCell="A40" zoomScaleNormal="70" zoomScaleSheetLayoutView="100" workbookViewId="0">
      <selection activeCell="K45" sqref="K45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45419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170</v>
      </c>
      <c r="E5" s="58"/>
      <c r="F5" s="58"/>
      <c r="G5" s="58"/>
      <c r="H5" s="58" t="s">
        <v>178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176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177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125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2359</v>
      </c>
      <c r="Q10" s="4">
        <v>6</v>
      </c>
      <c r="R10" s="4">
        <f>P10+Q10</f>
        <v>2365</v>
      </c>
    </row>
    <row r="11" spans="1:18" ht="24" customHeight="1" x14ac:dyDescent="0.3">
      <c r="A11" s="13"/>
      <c r="B11" s="28" t="s">
        <v>162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1215</v>
      </c>
      <c r="Q11" s="4">
        <v>7</v>
      </c>
      <c r="R11" s="4">
        <f t="shared" ref="R11:R28" si="0">P11+Q11</f>
        <v>1222</v>
      </c>
    </row>
    <row r="12" spans="1:18" ht="24" customHeight="1" x14ac:dyDescent="0.3">
      <c r="A12" s="13"/>
      <c r="B12" s="28" t="s">
        <v>157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126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382</v>
      </c>
      <c r="Q13" s="4"/>
      <c r="R13" s="4">
        <f t="shared" si="0"/>
        <v>382</v>
      </c>
    </row>
    <row r="14" spans="1:18" ht="24" customHeight="1" x14ac:dyDescent="0.3">
      <c r="A14" s="13"/>
      <c r="B14" s="43" t="s">
        <v>142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43" t="s">
        <v>163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158</v>
      </c>
      <c r="B16" s="28" t="s">
        <v>159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5857</v>
      </c>
      <c r="Q16" s="4">
        <v>41</v>
      </c>
      <c r="R16" s="4">
        <f t="shared" si="0"/>
        <v>5898</v>
      </c>
    </row>
    <row r="17" spans="1:25" ht="24" customHeight="1" x14ac:dyDescent="0.3">
      <c r="A17" s="44" t="s">
        <v>137</v>
      </c>
      <c r="B17" s="42" t="s">
        <v>146</v>
      </c>
      <c r="E17" t="s">
        <v>173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1194</v>
      </c>
      <c r="Q17" s="4"/>
      <c r="R17" s="4">
        <f>P17+Q17</f>
        <v>1194</v>
      </c>
    </row>
    <row r="18" spans="1:25" ht="24" customHeight="1" x14ac:dyDescent="0.3">
      <c r="A18" s="45" t="s">
        <v>179</v>
      </c>
      <c r="B18" s="43" t="s">
        <v>180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100</v>
      </c>
      <c r="B19" s="28" t="s">
        <v>105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172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189</v>
      </c>
      <c r="Q25" s="4">
        <v>4</v>
      </c>
      <c r="R25" s="4">
        <f t="shared" si="0"/>
        <v>193</v>
      </c>
    </row>
    <row r="26" spans="1:25" ht="24" customHeight="1" x14ac:dyDescent="0.3">
      <c r="A26" s="13"/>
      <c r="B26" s="28" t="s">
        <v>157</v>
      </c>
      <c r="C26" s="14"/>
      <c r="G26" s="6"/>
      <c r="K26" s="6"/>
      <c r="M26" s="2" t="s">
        <v>117</v>
      </c>
      <c r="N26" s="48" t="s">
        <v>118</v>
      </c>
      <c r="O26" s="49"/>
      <c r="P26" s="4">
        <v>61</v>
      </c>
      <c r="Q26" s="4">
        <v>6</v>
      </c>
      <c r="R26" s="4">
        <f t="shared" si="0"/>
        <v>67</v>
      </c>
    </row>
    <row r="27" spans="1:25" ht="24" customHeight="1" x14ac:dyDescent="0.3">
      <c r="A27" s="13"/>
      <c r="B27" s="28" t="s">
        <v>126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43" t="s">
        <v>183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43" t="s">
        <v>184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 t="s">
        <v>136</v>
      </c>
      <c r="B30" s="28" t="s">
        <v>181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158</v>
      </c>
      <c r="B31" s="28" t="s">
        <v>159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127</v>
      </c>
      <c r="B32" s="28" t="s">
        <v>174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137</v>
      </c>
      <c r="B33" s="28" t="s">
        <v>146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 t="s">
        <v>182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179</v>
      </c>
      <c r="B35" s="28" t="s">
        <v>185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5968</v>
      </c>
      <c r="E42" s="15">
        <v>126</v>
      </c>
      <c r="F42" s="15">
        <f>D42+E42</f>
        <v>6094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14230</v>
      </c>
      <c r="Q47" s="4">
        <f>SUM(Q10:Q46)</f>
        <v>64</v>
      </c>
      <c r="R47" s="4">
        <f>SUM(R10:R46)</f>
        <v>14294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6</v>
      </c>
      <c r="J50" s="15">
        <v>1</v>
      </c>
      <c r="K50" s="15">
        <f t="shared" si="2"/>
        <v>7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454</v>
      </c>
      <c r="J54" s="15">
        <v>3</v>
      </c>
      <c r="K54" s="15">
        <f t="shared" si="2"/>
        <v>457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50F7-DB62-4C47-AAC2-5C342164A736}">
  <sheetPr>
    <pageSetUpPr fitToPage="1"/>
  </sheetPr>
  <dimension ref="A1:Y83"/>
  <sheetViews>
    <sheetView view="pageBreakPreview" topLeftCell="A26" zoomScaleNormal="70" zoomScaleSheetLayoutView="100" workbookViewId="0">
      <selection activeCell="G17" sqref="G17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45420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190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157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2365</v>
      </c>
      <c r="Q10" s="4">
        <v>6</v>
      </c>
      <c r="R10" s="4">
        <f>P10+Q10</f>
        <v>2371</v>
      </c>
    </row>
    <row r="11" spans="1:18" ht="24" customHeight="1" x14ac:dyDescent="0.3">
      <c r="A11" s="13"/>
      <c r="B11" s="28" t="s">
        <v>126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1222</v>
      </c>
      <c r="Q11" s="4">
        <v>7</v>
      </c>
      <c r="R11" s="4">
        <f t="shared" ref="R11:R28" si="0">P11+Q11</f>
        <v>1229</v>
      </c>
    </row>
    <row r="12" spans="1:18" ht="24" customHeight="1" x14ac:dyDescent="0.3">
      <c r="A12" s="13"/>
      <c r="B12" s="43" t="s">
        <v>183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43" t="s">
        <v>184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382</v>
      </c>
      <c r="Q13" s="4"/>
      <c r="R13" s="4">
        <f t="shared" si="0"/>
        <v>382</v>
      </c>
    </row>
    <row r="14" spans="1:18" ht="24" customHeight="1" x14ac:dyDescent="0.3">
      <c r="A14" s="13" t="s">
        <v>136</v>
      </c>
      <c r="B14" s="28" t="s">
        <v>181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158</v>
      </c>
      <c r="B15" s="28" t="s">
        <v>159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137</v>
      </c>
      <c r="B16" s="28" t="s">
        <v>146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5898</v>
      </c>
      <c r="Q16" s="4">
        <v>40</v>
      </c>
      <c r="R16" s="4">
        <f t="shared" si="0"/>
        <v>5938</v>
      </c>
    </row>
    <row r="17" spans="1:25" ht="24" customHeight="1" x14ac:dyDescent="0.3">
      <c r="A17" s="13"/>
      <c r="B17" s="28" t="s">
        <v>182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1194</v>
      </c>
      <c r="Q17" s="4">
        <v>4</v>
      </c>
      <c r="R17" s="4">
        <f>P17+Q17</f>
        <v>1198</v>
      </c>
    </row>
    <row r="18" spans="1:25" ht="24" customHeight="1" x14ac:dyDescent="0.3">
      <c r="A18" s="13" t="s">
        <v>179</v>
      </c>
      <c r="B18" s="28" t="s">
        <v>185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100</v>
      </c>
      <c r="B19" s="28" t="s">
        <v>105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186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193</v>
      </c>
      <c r="Q25" s="4">
        <v>10</v>
      </c>
      <c r="R25" s="4">
        <f t="shared" si="0"/>
        <v>203</v>
      </c>
    </row>
    <row r="26" spans="1:25" ht="24" customHeight="1" x14ac:dyDescent="0.3">
      <c r="A26" s="13"/>
      <c r="B26" s="28" t="s">
        <v>157</v>
      </c>
      <c r="C26" s="14"/>
      <c r="G26" s="6"/>
      <c r="K26" s="6"/>
      <c r="M26" s="2" t="s">
        <v>117</v>
      </c>
      <c r="N26" s="48" t="s">
        <v>118</v>
      </c>
      <c r="O26" s="49"/>
      <c r="P26" s="4">
        <v>67</v>
      </c>
      <c r="Q26" s="4">
        <v>5</v>
      </c>
      <c r="R26" s="4">
        <f t="shared" si="0"/>
        <v>72</v>
      </c>
    </row>
    <row r="27" spans="1:25" ht="24" customHeight="1" x14ac:dyDescent="0.3">
      <c r="A27" s="13"/>
      <c r="B27" s="28" t="s">
        <v>126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43" t="s">
        <v>187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43" t="s">
        <v>184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181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158</v>
      </c>
      <c r="B33" s="28" t="s">
        <v>188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137</v>
      </c>
      <c r="B35" s="28" t="s">
        <v>189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 t="s">
        <v>186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6094</v>
      </c>
      <c r="E42" s="15"/>
      <c r="F42" s="15">
        <f>D42+E42</f>
        <v>6094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14294</v>
      </c>
      <c r="Q47" s="4">
        <f>SUM(Q10:Q46)</f>
        <v>72</v>
      </c>
      <c r="R47" s="4">
        <f>SUM(R10:R46)</f>
        <v>14366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7</v>
      </c>
      <c r="J50" s="15">
        <v>1</v>
      </c>
      <c r="K50" s="15">
        <f t="shared" si="2"/>
        <v>8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457</v>
      </c>
      <c r="J54" s="15">
        <v>3</v>
      </c>
      <c r="K54" s="15">
        <f t="shared" si="2"/>
        <v>460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3239-BCDD-4D1A-9D73-D30EC60FA1E8}">
  <sheetPr>
    <pageSetUpPr fitToPage="1"/>
  </sheetPr>
  <dimension ref="A1:Y83"/>
  <sheetViews>
    <sheetView view="pageBreakPreview" topLeftCell="A29" zoomScale="85" zoomScaleNormal="70" zoomScaleSheetLayoutView="85" workbookViewId="0">
      <selection activeCell="A24" sqref="A24:B36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45421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190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157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2371</v>
      </c>
      <c r="Q10" s="4">
        <v>6</v>
      </c>
      <c r="R10" s="4">
        <f>P10+Q10</f>
        <v>2377</v>
      </c>
    </row>
    <row r="11" spans="1:18" ht="24" customHeight="1" x14ac:dyDescent="0.3">
      <c r="A11" s="13"/>
      <c r="B11" s="28" t="s">
        <v>194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1229</v>
      </c>
      <c r="Q11" s="4">
        <v>10</v>
      </c>
      <c r="R11" s="4">
        <f t="shared" ref="R11:R28" si="0">P11+Q11</f>
        <v>1239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43" t="s">
        <v>187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382</v>
      </c>
      <c r="Q13" s="4">
        <v>3</v>
      </c>
      <c r="R13" s="4">
        <f t="shared" si="0"/>
        <v>385</v>
      </c>
    </row>
    <row r="14" spans="1:18" ht="24" customHeight="1" x14ac:dyDescent="0.3">
      <c r="A14" s="13"/>
      <c r="B14" s="43" t="s">
        <v>184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136</v>
      </c>
      <c r="B16" s="28" t="s">
        <v>181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5938</v>
      </c>
      <c r="Q16" s="4">
        <v>54</v>
      </c>
      <c r="R16" s="4">
        <f t="shared" si="0"/>
        <v>5992</v>
      </c>
    </row>
    <row r="17" spans="1:25" ht="24" customHeight="1" x14ac:dyDescent="0.3">
      <c r="A17" s="13" t="s">
        <v>158</v>
      </c>
      <c r="B17" s="28" t="s">
        <v>188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1198</v>
      </c>
      <c r="Q17" s="4">
        <v>5</v>
      </c>
      <c r="R17" s="4">
        <f>P17+Q17</f>
        <v>1203</v>
      </c>
    </row>
    <row r="18" spans="1:25" ht="24" customHeight="1" x14ac:dyDescent="0.3">
      <c r="A18" s="13" t="s">
        <v>127</v>
      </c>
      <c r="B18" s="28" t="s">
        <v>193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137</v>
      </c>
      <c r="B19" s="28" t="s">
        <v>189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100</v>
      </c>
      <c r="B20" s="28" t="s">
        <v>105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/>
      <c r="B21" s="28" t="s">
        <v>186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203</v>
      </c>
      <c r="Q25" s="4">
        <v>10</v>
      </c>
      <c r="R25" s="4">
        <f t="shared" si="0"/>
        <v>213</v>
      </c>
    </row>
    <row r="26" spans="1:25" ht="24" customHeight="1" x14ac:dyDescent="0.3">
      <c r="A26" s="13"/>
      <c r="B26" s="28" t="s">
        <v>157</v>
      </c>
      <c r="C26" s="14"/>
      <c r="G26" s="6"/>
      <c r="K26" s="6"/>
      <c r="M26" s="2" t="s">
        <v>117</v>
      </c>
      <c r="N26" s="48" t="s">
        <v>118</v>
      </c>
      <c r="O26" s="49"/>
      <c r="P26" s="4">
        <v>72</v>
      </c>
      <c r="Q26" s="4">
        <v>5</v>
      </c>
      <c r="R26" s="4">
        <f t="shared" si="0"/>
        <v>77</v>
      </c>
    </row>
    <row r="27" spans="1:25" ht="24" customHeight="1" x14ac:dyDescent="0.3">
      <c r="A27" s="13"/>
      <c r="B27" s="28" t="s">
        <v>194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191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192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158</v>
      </c>
      <c r="B32" s="28" t="s">
        <v>188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141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 t="s">
        <v>193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137</v>
      </c>
      <c r="B35" s="28" t="s">
        <v>189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6094</v>
      </c>
      <c r="E42" s="15"/>
      <c r="F42" s="15">
        <f>D42+E42</f>
        <v>6094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14366</v>
      </c>
      <c r="Q47" s="4">
        <f>SUM(Q10:Q46)</f>
        <v>93</v>
      </c>
      <c r="R47" s="4">
        <f>SUM(R10:R46)</f>
        <v>14459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8</v>
      </c>
      <c r="J50" s="15">
        <v>1</v>
      </c>
      <c r="K50" s="15">
        <f t="shared" si="2"/>
        <v>9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460</v>
      </c>
      <c r="J54" s="15">
        <v>3</v>
      </c>
      <c r="K54" s="15">
        <f t="shared" si="2"/>
        <v>463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9171-1792-49FF-B930-700F3BE80FA7}">
  <sheetPr>
    <pageSetUpPr fitToPage="1"/>
  </sheetPr>
  <dimension ref="A1:Y83"/>
  <sheetViews>
    <sheetView view="pageBreakPreview" topLeftCell="A3" zoomScaleNormal="70" zoomScaleSheetLayoutView="100" workbookViewId="0">
      <selection activeCell="D17" sqref="D17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45422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195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157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2377</v>
      </c>
      <c r="Q10" s="4">
        <v>6</v>
      </c>
      <c r="R10" s="4">
        <f>P10+Q10</f>
        <v>2383</v>
      </c>
    </row>
    <row r="11" spans="1:18" ht="24" customHeight="1" x14ac:dyDescent="0.3">
      <c r="A11" s="13"/>
      <c r="B11" s="28" t="s">
        <v>194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1239</v>
      </c>
      <c r="Q11" s="4">
        <v>15</v>
      </c>
      <c r="R11" s="4">
        <f t="shared" ref="R11:R28" si="0">P11+Q11</f>
        <v>1254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191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385</v>
      </c>
      <c r="Q13" s="4">
        <v>4</v>
      </c>
      <c r="R13" s="4">
        <f t="shared" si="0"/>
        <v>389</v>
      </c>
    </row>
    <row r="14" spans="1:18" ht="24" customHeight="1" x14ac:dyDescent="0.3">
      <c r="A14" s="13"/>
      <c r="B14" s="28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136</v>
      </c>
      <c r="B15" s="28" t="s">
        <v>192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 t="s">
        <v>198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5992</v>
      </c>
      <c r="Q16" s="4">
        <v>52</v>
      </c>
      <c r="R16" s="4">
        <f t="shared" si="0"/>
        <v>6044</v>
      </c>
    </row>
    <row r="17" spans="1:25" ht="24" customHeight="1" x14ac:dyDescent="0.3">
      <c r="A17" s="13" t="s">
        <v>158</v>
      </c>
      <c r="B17" s="28" t="s">
        <v>188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1203</v>
      </c>
      <c r="Q17" s="4">
        <v>5</v>
      </c>
      <c r="R17" s="4">
        <f>P17+Q17</f>
        <v>1208</v>
      </c>
    </row>
    <row r="18" spans="1:25" ht="24" customHeight="1" x14ac:dyDescent="0.3">
      <c r="A18" s="13" t="s">
        <v>127</v>
      </c>
      <c r="B18" s="28" t="s">
        <v>141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 t="s">
        <v>193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137</v>
      </c>
      <c r="B20" s="28" t="s">
        <v>189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 t="s">
        <v>100</v>
      </c>
      <c r="B21" s="28" t="s">
        <v>105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213</v>
      </c>
      <c r="Q25" s="4">
        <v>16</v>
      </c>
      <c r="R25" s="4">
        <f t="shared" si="0"/>
        <v>229</v>
      </c>
    </row>
    <row r="26" spans="1:25" ht="24" customHeight="1" x14ac:dyDescent="0.3">
      <c r="A26" s="13"/>
      <c r="B26" s="28" t="s">
        <v>157</v>
      </c>
      <c r="C26" s="14"/>
      <c r="G26" s="6"/>
      <c r="K26" s="6"/>
      <c r="M26" s="2" t="s">
        <v>117</v>
      </c>
      <c r="N26" s="48" t="s">
        <v>118</v>
      </c>
      <c r="O26" s="49"/>
      <c r="P26" s="4">
        <v>77</v>
      </c>
      <c r="Q26" s="4">
        <v>4</v>
      </c>
      <c r="R26" s="4">
        <f t="shared" si="0"/>
        <v>81</v>
      </c>
    </row>
    <row r="27" spans="1:25" ht="24" customHeight="1" x14ac:dyDescent="0.3">
      <c r="A27" s="13"/>
      <c r="B27" s="28" t="s">
        <v>126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197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196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158</v>
      </c>
      <c r="B31" s="28" t="s">
        <v>188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193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137</v>
      </c>
      <c r="B35" s="28" t="s">
        <v>189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6094</v>
      </c>
      <c r="E42" s="15"/>
      <c r="F42" s="15">
        <f>D42+E42</f>
        <v>6094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14459</v>
      </c>
      <c r="Q47" s="4">
        <f>SUM(Q10:Q46)</f>
        <v>102</v>
      </c>
      <c r="R47" s="4">
        <f>SUM(R10:R46)</f>
        <v>14561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9</v>
      </c>
      <c r="J50" s="15">
        <v>1</v>
      </c>
      <c r="K50" s="15">
        <f t="shared" si="2"/>
        <v>10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463</v>
      </c>
      <c r="J54" s="15">
        <v>3</v>
      </c>
      <c r="K54" s="15">
        <f t="shared" si="2"/>
        <v>466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058F-E972-44DD-BCC5-546D49139D9F}">
  <sheetPr>
    <pageSetUpPr fitToPage="1"/>
  </sheetPr>
  <dimension ref="A1:Y83"/>
  <sheetViews>
    <sheetView view="pageBreakPreview" zoomScaleNormal="70" zoomScaleSheetLayoutView="100" workbookViewId="0">
      <selection activeCell="J16" sqref="J16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45423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170</v>
      </c>
      <c r="E5" s="58"/>
      <c r="F5" s="58"/>
      <c r="G5" s="58"/>
      <c r="H5" s="58" t="s">
        <v>139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157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2383</v>
      </c>
      <c r="Q10" s="4">
        <v>6</v>
      </c>
      <c r="R10" s="4">
        <f>P10+Q10</f>
        <v>2389</v>
      </c>
    </row>
    <row r="11" spans="1:18" ht="24" customHeight="1" x14ac:dyDescent="0.3">
      <c r="A11" s="13"/>
      <c r="B11" s="28" t="s">
        <v>126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1254</v>
      </c>
      <c r="Q11" s="4">
        <v>6</v>
      </c>
      <c r="R11" s="4">
        <f t="shared" ref="R11:R28" si="0">P11+Q11</f>
        <v>1260</v>
      </c>
    </row>
    <row r="12" spans="1:18" ht="24" customHeight="1" x14ac:dyDescent="0.3">
      <c r="A12" s="13"/>
      <c r="B12" s="28" t="s">
        <v>197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196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389</v>
      </c>
      <c r="Q13" s="4">
        <v>2</v>
      </c>
      <c r="R13" s="4">
        <f t="shared" si="0"/>
        <v>391</v>
      </c>
    </row>
    <row r="14" spans="1:18" ht="24" customHeight="1" x14ac:dyDescent="0.3">
      <c r="A14" s="13"/>
      <c r="B14" s="28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158</v>
      </c>
      <c r="B15" s="28" t="s">
        <v>188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/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6044</v>
      </c>
      <c r="Q16" s="4">
        <v>37</v>
      </c>
      <c r="R16" s="4">
        <f t="shared" si="0"/>
        <v>6081</v>
      </c>
    </row>
    <row r="17" spans="1:25" ht="24" customHeight="1" x14ac:dyDescent="0.3">
      <c r="A17" s="13" t="s">
        <v>127</v>
      </c>
      <c r="B17" s="28" t="s">
        <v>193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1208</v>
      </c>
      <c r="Q17" s="4"/>
      <c r="R17" s="4">
        <f>P17+Q17</f>
        <v>1208</v>
      </c>
    </row>
    <row r="18" spans="1:25" ht="24" customHeight="1" x14ac:dyDescent="0.3">
      <c r="A18" s="13"/>
      <c r="B18" s="28"/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137</v>
      </c>
      <c r="B19" s="28" t="s">
        <v>189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 t="s">
        <v>100</v>
      </c>
      <c r="B21" s="28" t="s">
        <v>105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229</v>
      </c>
      <c r="Q25" s="4">
        <v>7</v>
      </c>
      <c r="R25" s="4">
        <f t="shared" si="0"/>
        <v>236</v>
      </c>
    </row>
    <row r="26" spans="1:25" ht="24" customHeight="1" x14ac:dyDescent="0.3">
      <c r="A26" s="13"/>
      <c r="B26" s="28" t="s">
        <v>126</v>
      </c>
      <c r="C26" s="14"/>
      <c r="G26" s="6"/>
      <c r="K26" s="6"/>
      <c r="M26" s="2" t="s">
        <v>117</v>
      </c>
      <c r="N26" s="48" t="s">
        <v>118</v>
      </c>
      <c r="O26" s="49"/>
      <c r="P26" s="4">
        <v>81</v>
      </c>
      <c r="Q26" s="4">
        <v>5</v>
      </c>
      <c r="R26" s="4">
        <f t="shared" si="0"/>
        <v>86</v>
      </c>
    </row>
    <row r="27" spans="1:25" ht="24" customHeight="1" x14ac:dyDescent="0.3">
      <c r="A27" s="13"/>
      <c r="B27" s="28" t="s">
        <v>199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196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/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 t="s">
        <v>158</v>
      </c>
      <c r="B30" s="28" t="s">
        <v>188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137</v>
      </c>
      <c r="B32" s="28" t="s">
        <v>189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100</v>
      </c>
      <c r="B34" s="28" t="s">
        <v>105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6094</v>
      </c>
      <c r="E42" s="15"/>
      <c r="F42" s="15">
        <f>D42+E42</f>
        <v>6094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14561</v>
      </c>
      <c r="Q47" s="4">
        <f>SUM(Q10:Q46)</f>
        <v>63</v>
      </c>
      <c r="R47" s="4">
        <f>SUM(R10:R46)</f>
        <v>14624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10</v>
      </c>
      <c r="J50" s="15">
        <v>1</v>
      </c>
      <c r="K50" s="15">
        <f t="shared" si="2"/>
        <v>11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466</v>
      </c>
      <c r="J54" s="15">
        <v>3</v>
      </c>
      <c r="K54" s="15">
        <f t="shared" si="2"/>
        <v>469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1A45-65C9-4880-94F2-3460C88A1D57}">
  <sheetPr>
    <pageSetUpPr fitToPage="1"/>
  </sheetPr>
  <dimension ref="A1:Y83"/>
  <sheetViews>
    <sheetView view="pageBreakPreview" topLeftCell="A24" zoomScaleNormal="70" zoomScaleSheetLayoutView="100" workbookViewId="0">
      <selection activeCell="Q26" sqref="Q26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45424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200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126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2389</v>
      </c>
      <c r="Q10" s="4">
        <v>2</v>
      </c>
      <c r="R10" s="4">
        <f>P10+Q10</f>
        <v>2391</v>
      </c>
    </row>
    <row r="11" spans="1:18" ht="24" customHeight="1" x14ac:dyDescent="0.3">
      <c r="A11" s="13"/>
      <c r="B11" s="28" t="s">
        <v>199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1260</v>
      </c>
      <c r="Q11" s="4">
        <v>1</v>
      </c>
      <c r="R11" s="4">
        <f t="shared" ref="R11:R28" si="0">P11+Q11</f>
        <v>1261</v>
      </c>
    </row>
    <row r="12" spans="1:18" ht="24" customHeight="1" x14ac:dyDescent="0.3">
      <c r="A12" s="13"/>
      <c r="B12" s="28" t="s">
        <v>196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/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391</v>
      </c>
      <c r="Q13" s="4"/>
      <c r="R13" s="4">
        <f t="shared" si="0"/>
        <v>391</v>
      </c>
    </row>
    <row r="14" spans="1:18" ht="24" customHeight="1" x14ac:dyDescent="0.3">
      <c r="A14" s="13" t="s">
        <v>158</v>
      </c>
      <c r="B14" s="28" t="s">
        <v>188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137</v>
      </c>
      <c r="B16" s="28" t="s">
        <v>189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6081</v>
      </c>
      <c r="Q16" s="4">
        <v>28</v>
      </c>
      <c r="R16" s="4">
        <f t="shared" si="0"/>
        <v>6109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1208</v>
      </c>
      <c r="Q17" s="4"/>
      <c r="R17" s="4">
        <f>P17+Q17</f>
        <v>1208</v>
      </c>
    </row>
    <row r="18" spans="1:25" ht="24" customHeight="1" x14ac:dyDescent="0.3">
      <c r="A18" s="13" t="s">
        <v>100</v>
      </c>
      <c r="B18" s="28" t="s">
        <v>105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/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/>
      <c r="R20" s="4">
        <f>P20+Q20</f>
        <v>27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176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201</v>
      </c>
      <c r="G25" s="6"/>
      <c r="K25" s="6"/>
      <c r="M25" s="2" t="s">
        <v>45</v>
      </c>
      <c r="N25" s="48" t="s">
        <v>46</v>
      </c>
      <c r="O25" s="49"/>
      <c r="P25" s="4">
        <v>236</v>
      </c>
      <c r="Q25" s="4">
        <v>9</v>
      </c>
      <c r="R25" s="4">
        <f t="shared" si="0"/>
        <v>245</v>
      </c>
    </row>
    <row r="26" spans="1:25" ht="24" customHeight="1" x14ac:dyDescent="0.3">
      <c r="A26" s="13"/>
      <c r="B26" s="28" t="s">
        <v>125</v>
      </c>
      <c r="C26" s="14"/>
      <c r="G26" s="6"/>
      <c r="K26" s="6"/>
      <c r="M26" s="2" t="s">
        <v>117</v>
      </c>
      <c r="N26" s="48" t="s">
        <v>118</v>
      </c>
      <c r="O26" s="49"/>
      <c r="P26" s="4">
        <v>86</v>
      </c>
      <c r="Q26" s="4">
        <v>4</v>
      </c>
      <c r="R26" s="4">
        <f t="shared" si="0"/>
        <v>90</v>
      </c>
    </row>
    <row r="27" spans="1:25" ht="24" customHeight="1" x14ac:dyDescent="0.3">
      <c r="A27" s="13"/>
      <c r="B27" s="28" t="s">
        <v>157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13"/>
      <c r="B29" s="28" t="s">
        <v>202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 t="s">
        <v>203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 t="s">
        <v>204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136</v>
      </c>
      <c r="B32" s="28" t="s">
        <v>205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 t="s">
        <v>206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158</v>
      </c>
      <c r="B34" s="28" t="s">
        <v>207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127</v>
      </c>
      <c r="B35" s="28" t="s">
        <v>208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137</v>
      </c>
      <c r="B36" s="28" t="s">
        <v>189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6094</v>
      </c>
      <c r="E42" s="15"/>
      <c r="F42" s="15">
        <f>D42+E42</f>
        <v>6094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/>
      <c r="F43" s="15">
        <f t="shared" ref="F43:F49" si="1">D43+E43</f>
        <v>1960.1699999999998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/>
      <c r="F44" s="15">
        <f t="shared" si="1"/>
        <v>5876.154999999997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14624</v>
      </c>
      <c r="Q47" s="4">
        <f>SUM(Q10:Q46)</f>
        <v>44</v>
      </c>
      <c r="R47" s="4">
        <f>SUM(R10:R46)</f>
        <v>14668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/>
      <c r="K49" s="15">
        <f t="shared" si="2"/>
        <v>33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11</v>
      </c>
      <c r="J50" s="15">
        <v>1</v>
      </c>
      <c r="K50" s="15">
        <f t="shared" si="2"/>
        <v>12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469</v>
      </c>
      <c r="J54" s="15">
        <v>3</v>
      </c>
      <c r="K54" s="15">
        <f t="shared" si="2"/>
        <v>472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4DAB-4D13-442A-95D4-855895228F17}">
  <sheetPr>
    <pageSetUpPr fitToPage="1"/>
  </sheetPr>
  <dimension ref="A1:Y83"/>
  <sheetViews>
    <sheetView view="pageBreakPreview" topLeftCell="A36" zoomScaleNormal="70" zoomScaleSheetLayoutView="100" workbookViewId="0">
      <selection activeCell="E33" sqref="E33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45425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139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176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201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125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2391</v>
      </c>
      <c r="Q10" s="4">
        <v>5</v>
      </c>
      <c r="R10" s="4">
        <f>P10+Q10</f>
        <v>2396</v>
      </c>
    </row>
    <row r="11" spans="1:18" ht="24" customHeight="1" x14ac:dyDescent="0.3">
      <c r="A11" s="13"/>
      <c r="B11" s="28" t="s">
        <v>157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1261</v>
      </c>
      <c r="Q11" s="4">
        <v>7</v>
      </c>
      <c r="R11" s="4">
        <f t="shared" ref="R11:R28" si="0">P11+Q11</f>
        <v>1268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13"/>
      <c r="B13" s="28" t="s">
        <v>202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391</v>
      </c>
      <c r="Q13" s="4">
        <v>2</v>
      </c>
      <c r="R13" s="4">
        <f t="shared" si="0"/>
        <v>393</v>
      </c>
    </row>
    <row r="14" spans="1:18" ht="24" customHeight="1" x14ac:dyDescent="0.3">
      <c r="A14" s="13"/>
      <c r="B14" s="28" t="s">
        <v>203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204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136</v>
      </c>
      <c r="B16" s="28" t="s">
        <v>205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6109</v>
      </c>
      <c r="Q16" s="4">
        <v>31</v>
      </c>
      <c r="R16" s="4">
        <f t="shared" si="0"/>
        <v>6140</v>
      </c>
    </row>
    <row r="17" spans="1:25" ht="24" customHeight="1" x14ac:dyDescent="0.3">
      <c r="A17" s="13"/>
      <c r="B17" s="28" t="s">
        <v>206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1208</v>
      </c>
      <c r="Q17" s="4">
        <v>4</v>
      </c>
      <c r="R17" s="4">
        <f>P17+Q17</f>
        <v>1212</v>
      </c>
    </row>
    <row r="18" spans="1:25" ht="24" customHeight="1" x14ac:dyDescent="0.3">
      <c r="A18" s="13" t="s">
        <v>158</v>
      </c>
      <c r="B18" s="28" t="s">
        <v>207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127</v>
      </c>
      <c r="B19" s="28" t="s">
        <v>208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135</v>
      </c>
      <c r="B20" s="28" t="s">
        <v>209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27</v>
      </c>
      <c r="Q20" s="4">
        <v>3</v>
      </c>
      <c r="R20" s="4">
        <f>P20+Q20</f>
        <v>30</v>
      </c>
    </row>
    <row r="21" spans="1:25" ht="24" customHeight="1" x14ac:dyDescent="0.3">
      <c r="A21" s="13" t="s">
        <v>137</v>
      </c>
      <c r="B21" s="28" t="s">
        <v>189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157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213</v>
      </c>
      <c r="G25" s="6"/>
      <c r="K25" s="6"/>
      <c r="M25" s="2" t="s">
        <v>45</v>
      </c>
      <c r="N25" s="48" t="s">
        <v>46</v>
      </c>
      <c r="O25" s="49"/>
      <c r="P25" s="4">
        <v>245</v>
      </c>
      <c r="Q25" s="4">
        <v>11</v>
      </c>
      <c r="R25" s="4">
        <f t="shared" si="0"/>
        <v>256</v>
      </c>
    </row>
    <row r="26" spans="1:25" ht="24" customHeight="1" x14ac:dyDescent="0.3">
      <c r="A26" s="13"/>
      <c r="B26" s="28" t="s">
        <v>212</v>
      </c>
      <c r="C26" s="14"/>
      <c r="G26" s="6"/>
      <c r="K26" s="6"/>
      <c r="M26" s="2" t="s">
        <v>117</v>
      </c>
      <c r="N26" s="48" t="s">
        <v>118</v>
      </c>
      <c r="O26" s="49"/>
      <c r="P26" s="4">
        <v>90</v>
      </c>
      <c r="Q26" s="4">
        <v>2</v>
      </c>
      <c r="R26" s="4">
        <f t="shared" si="0"/>
        <v>92</v>
      </c>
    </row>
    <row r="27" spans="1:25" ht="24" customHeight="1" x14ac:dyDescent="0.3">
      <c r="A27" s="13"/>
      <c r="B27" s="28"/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 t="s">
        <v>136</v>
      </c>
      <c r="B28" s="28" t="s">
        <v>210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/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 t="s">
        <v>127</v>
      </c>
      <c r="B30" s="28" t="s">
        <v>211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137</v>
      </c>
      <c r="B32" s="28" t="s">
        <v>189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100</v>
      </c>
      <c r="B34" s="28" t="s">
        <v>105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6094</v>
      </c>
      <c r="E42" s="15">
        <v>150</v>
      </c>
      <c r="F42" s="15">
        <f>D42+E42</f>
        <v>6244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1960.1699999999998</v>
      </c>
      <c r="E43" s="15">
        <v>3.7639999999999998</v>
      </c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5876.154999999997</v>
      </c>
      <c r="E44" s="15">
        <v>5.73</v>
      </c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14668</v>
      </c>
      <c r="Q47" s="4">
        <f>SUM(Q10:Q46)</f>
        <v>65</v>
      </c>
      <c r="R47" s="4">
        <f>SUM(R10:R46)</f>
        <v>14733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33</v>
      </c>
      <c r="J49" s="15">
        <v>1</v>
      </c>
      <c r="K49" s="15">
        <f t="shared" si="2"/>
        <v>34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12</v>
      </c>
      <c r="J50" s="15">
        <v>1</v>
      </c>
      <c r="K50" s="15">
        <f t="shared" si="2"/>
        <v>13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472</v>
      </c>
      <c r="J54" s="15">
        <v>3</v>
      </c>
      <c r="K54" s="15">
        <f t="shared" si="2"/>
        <v>475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08B8-F63B-4A64-A5D6-53038444FDB6}">
  <sheetPr>
    <pageSetUpPr fitToPage="1"/>
  </sheetPr>
  <dimension ref="A1:Y83"/>
  <sheetViews>
    <sheetView view="pageBreakPreview" zoomScaleNormal="70" zoomScaleSheetLayoutView="100" workbookViewId="0">
      <selection activeCell="D4" sqref="D4:K4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45426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139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157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213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212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2396</v>
      </c>
      <c r="Q10" s="4">
        <v>5</v>
      </c>
      <c r="R10" s="4">
        <f>P10+Q10</f>
        <v>2401</v>
      </c>
    </row>
    <row r="11" spans="1:18" ht="24" customHeight="1" x14ac:dyDescent="0.3">
      <c r="A11" s="13"/>
      <c r="B11" s="28"/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1268</v>
      </c>
      <c r="Q11" s="4">
        <v>7</v>
      </c>
      <c r="R11" s="4">
        <f t="shared" ref="R11:R28" si="0">P11+Q11</f>
        <v>1275</v>
      </c>
    </row>
    <row r="12" spans="1:18" ht="24" customHeight="1" x14ac:dyDescent="0.3">
      <c r="A12" s="13" t="s">
        <v>136</v>
      </c>
      <c r="B12" s="28" t="s">
        <v>210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/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393</v>
      </c>
      <c r="Q13" s="4">
        <v>2</v>
      </c>
      <c r="R13" s="4">
        <f t="shared" si="0"/>
        <v>395</v>
      </c>
    </row>
    <row r="14" spans="1:18" ht="24" customHeight="1" x14ac:dyDescent="0.3">
      <c r="A14" s="13" t="s">
        <v>127</v>
      </c>
      <c r="B14" s="28" t="s">
        <v>211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137</v>
      </c>
      <c r="B16" s="28" t="s">
        <v>214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6140</v>
      </c>
      <c r="Q16" s="4">
        <v>38</v>
      </c>
      <c r="R16" s="4">
        <f t="shared" si="0"/>
        <v>6178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1212</v>
      </c>
      <c r="Q17" s="4">
        <v>4</v>
      </c>
      <c r="R17" s="4">
        <f>P17+Q17</f>
        <v>1216</v>
      </c>
    </row>
    <row r="18" spans="1:25" ht="24" customHeight="1" x14ac:dyDescent="0.3">
      <c r="A18" s="13" t="s">
        <v>100</v>
      </c>
      <c r="B18" s="28" t="s">
        <v>105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/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157</v>
      </c>
      <c r="G25" s="6"/>
      <c r="K25" s="6"/>
      <c r="M25" s="2" t="s">
        <v>45</v>
      </c>
      <c r="N25" s="48" t="s">
        <v>46</v>
      </c>
      <c r="O25" s="49"/>
      <c r="P25" s="4">
        <v>256</v>
      </c>
      <c r="Q25" s="4">
        <v>12</v>
      </c>
      <c r="R25" s="4">
        <f t="shared" si="0"/>
        <v>268</v>
      </c>
    </row>
    <row r="26" spans="1:25" ht="24" customHeight="1" x14ac:dyDescent="0.3">
      <c r="A26" s="13"/>
      <c r="B26" s="28" t="s">
        <v>213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215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 t="s">
        <v>216</v>
      </c>
      <c r="G29" s="6"/>
      <c r="K29" s="6"/>
      <c r="M29" s="2"/>
      <c r="N29" s="48"/>
      <c r="O29" s="49"/>
      <c r="P29" s="4"/>
      <c r="Q29" s="4"/>
      <c r="R29" s="4"/>
    </row>
    <row r="30" spans="1:25" ht="24" customHeight="1" x14ac:dyDescent="0.3">
      <c r="A30" s="13"/>
      <c r="B30" s="28" t="s">
        <v>217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 t="s">
        <v>218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219</v>
      </c>
      <c r="B33" s="28" t="s">
        <v>220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 t="s">
        <v>221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137</v>
      </c>
      <c r="B36" s="28" t="s">
        <v>214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6244</v>
      </c>
      <c r="E42" s="15"/>
      <c r="F42" s="15">
        <f>D42+E42</f>
        <v>6244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/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/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14733</v>
      </c>
      <c r="Q47" s="4">
        <f>SUM(Q10:Q46)</f>
        <v>68</v>
      </c>
      <c r="R47" s="4">
        <f>SUM(R10:R46)</f>
        <v>14801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34</v>
      </c>
      <c r="J49" s="15"/>
      <c r="K49" s="15">
        <f t="shared" si="2"/>
        <v>34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13</v>
      </c>
      <c r="J50" s="15">
        <v>1</v>
      </c>
      <c r="K50" s="15">
        <f t="shared" si="2"/>
        <v>14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475</v>
      </c>
      <c r="J54" s="15">
        <v>3</v>
      </c>
      <c r="K54" s="15">
        <f t="shared" si="2"/>
        <v>478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2EC4-5EF1-472D-A254-7B85CFA8FB47}">
  <sheetPr>
    <pageSetUpPr fitToPage="1"/>
  </sheetPr>
  <dimension ref="A1:Y83"/>
  <sheetViews>
    <sheetView view="pageBreakPreview" topLeftCell="A38" zoomScaleNormal="70" zoomScaleSheetLayoutView="100" workbookViewId="0">
      <selection activeCell="M29" sqref="M29:R29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45427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222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157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213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2401</v>
      </c>
      <c r="Q10" s="4">
        <v>2</v>
      </c>
      <c r="R10" s="4">
        <f>P10+Q10</f>
        <v>2403</v>
      </c>
    </row>
    <row r="11" spans="1:18" ht="24" customHeight="1" x14ac:dyDescent="0.3">
      <c r="A11" s="13"/>
      <c r="B11" s="28" t="s">
        <v>215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1275</v>
      </c>
      <c r="Q11" s="4">
        <v>4</v>
      </c>
      <c r="R11" s="4">
        <f t="shared" ref="R11:R29" si="0">P11+Q11</f>
        <v>1279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 t="s">
        <v>216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395</v>
      </c>
      <c r="Q13" s="4">
        <v>2</v>
      </c>
      <c r="R13" s="4">
        <f t="shared" si="0"/>
        <v>397</v>
      </c>
    </row>
    <row r="14" spans="1:18" ht="24" customHeight="1" x14ac:dyDescent="0.3">
      <c r="A14" s="13"/>
      <c r="B14" s="28" t="s">
        <v>217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218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219</v>
      </c>
      <c r="B16" s="28" t="s">
        <v>220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6178</v>
      </c>
      <c r="Q16" s="4">
        <v>49</v>
      </c>
      <c r="R16" s="4">
        <f t="shared" si="0"/>
        <v>6227</v>
      </c>
    </row>
    <row r="17" spans="1:25" ht="24" customHeight="1" x14ac:dyDescent="0.3">
      <c r="A17" s="13"/>
      <c r="B17" s="28" t="s">
        <v>221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1216</v>
      </c>
      <c r="Q17" s="4"/>
      <c r="R17" s="4">
        <f>P17+Q17</f>
        <v>1216</v>
      </c>
    </row>
    <row r="18" spans="1:25" ht="24" customHeight="1" x14ac:dyDescent="0.3">
      <c r="A18" s="13" t="s">
        <v>127</v>
      </c>
      <c r="B18" s="28" t="s">
        <v>193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137</v>
      </c>
      <c r="B19" s="28" t="s">
        <v>214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100</v>
      </c>
      <c r="B20" s="28" t="s">
        <v>105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176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223</v>
      </c>
      <c r="G25" s="6"/>
      <c r="K25" s="6"/>
      <c r="M25" s="2" t="s">
        <v>45</v>
      </c>
      <c r="N25" s="48" t="s">
        <v>46</v>
      </c>
      <c r="O25" s="49"/>
      <c r="P25" s="4">
        <v>268</v>
      </c>
      <c r="Q25" s="4">
        <v>8</v>
      </c>
      <c r="R25" s="4">
        <f t="shared" si="0"/>
        <v>276</v>
      </c>
    </row>
    <row r="26" spans="1:25" ht="24" customHeight="1" x14ac:dyDescent="0.3">
      <c r="A26" s="13"/>
      <c r="B26" s="28" t="s">
        <v>125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215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224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 t="s">
        <v>126</v>
      </c>
      <c r="G29" s="6"/>
      <c r="K29" s="6"/>
      <c r="M29" s="2" t="s">
        <v>229</v>
      </c>
      <c r="N29" s="62" t="s">
        <v>230</v>
      </c>
      <c r="O29" s="63"/>
      <c r="P29" s="4">
        <v>0</v>
      </c>
      <c r="Q29" s="4">
        <v>6</v>
      </c>
      <c r="R29" s="4">
        <f t="shared" si="0"/>
        <v>6</v>
      </c>
    </row>
    <row r="30" spans="1:25" ht="24" customHeight="1" x14ac:dyDescent="0.3">
      <c r="A30" s="13"/>
      <c r="B30" s="28" t="s">
        <v>216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219</v>
      </c>
      <c r="B32" s="28" t="s">
        <v>221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137</v>
      </c>
      <c r="B34" s="28" t="s">
        <v>214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6244</v>
      </c>
      <c r="E42" s="15"/>
      <c r="F42" s="15">
        <f>D42+E42</f>
        <v>6244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/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/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14801</v>
      </c>
      <c r="Q47" s="4">
        <f>SUM(Q10:Q46)</f>
        <v>71</v>
      </c>
      <c r="R47" s="4">
        <f>SUM(R10:R46)</f>
        <v>14872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34</v>
      </c>
      <c r="J49" s="15"/>
      <c r="K49" s="15">
        <f t="shared" si="2"/>
        <v>34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14</v>
      </c>
      <c r="J50" s="15">
        <v>1</v>
      </c>
      <c r="K50" s="15">
        <f t="shared" si="2"/>
        <v>15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478</v>
      </c>
      <c r="J54" s="15">
        <v>3</v>
      </c>
      <c r="K54" s="15">
        <f t="shared" si="2"/>
        <v>481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3BCE-4B0C-42E5-B89B-008B2A4602EC}">
  <sheetPr>
    <pageSetUpPr fitToPage="1"/>
  </sheetPr>
  <dimension ref="A1:Y83"/>
  <sheetViews>
    <sheetView view="pageBreakPreview" topLeftCell="A30" zoomScaleNormal="70" zoomScaleSheetLayoutView="100" workbookViewId="0">
      <selection activeCell="I13" sqref="I13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45428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225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176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223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125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2403</v>
      </c>
      <c r="Q10" s="4">
        <v>5</v>
      </c>
      <c r="R10" s="4">
        <f>P10+Q10</f>
        <v>2408</v>
      </c>
    </row>
    <row r="11" spans="1:18" ht="24" customHeight="1" x14ac:dyDescent="0.3">
      <c r="A11" s="13"/>
      <c r="B11" s="28" t="s">
        <v>215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1279</v>
      </c>
      <c r="Q11" s="4">
        <v>7</v>
      </c>
      <c r="R11" s="4">
        <f t="shared" ref="R11:R29" si="0">P11+Q11</f>
        <v>1286</v>
      </c>
    </row>
    <row r="12" spans="1:18" ht="24" customHeight="1" x14ac:dyDescent="0.3">
      <c r="A12" s="13"/>
      <c r="B12" s="28" t="s">
        <v>224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 t="s">
        <v>126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397</v>
      </c>
      <c r="Q13" s="4">
        <v>3</v>
      </c>
      <c r="R13" s="4">
        <f t="shared" si="0"/>
        <v>400</v>
      </c>
    </row>
    <row r="14" spans="1:18" ht="24" customHeight="1" x14ac:dyDescent="0.3">
      <c r="A14" s="13"/>
      <c r="B14" s="28" t="s">
        <v>226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216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/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6227</v>
      </c>
      <c r="Q16" s="4">
        <v>47</v>
      </c>
      <c r="R16" s="4">
        <f t="shared" si="0"/>
        <v>6274</v>
      </c>
    </row>
    <row r="17" spans="1:25" ht="24" customHeight="1" x14ac:dyDescent="0.3">
      <c r="A17" s="13" t="s">
        <v>136</v>
      </c>
      <c r="B17" s="28" t="s">
        <v>231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1216</v>
      </c>
      <c r="Q17" s="4">
        <v>4</v>
      </c>
      <c r="R17" s="4">
        <f>P17+Q17</f>
        <v>1220</v>
      </c>
    </row>
    <row r="18" spans="1:25" ht="24" customHeight="1" x14ac:dyDescent="0.3">
      <c r="A18" s="13" t="s">
        <v>219</v>
      </c>
      <c r="B18" s="28" t="s">
        <v>221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127</v>
      </c>
      <c r="B19" s="28" t="s">
        <v>193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137</v>
      </c>
      <c r="B20" s="28" t="s">
        <v>214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 t="s">
        <v>100</v>
      </c>
      <c r="B21" s="28" t="s">
        <v>105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224</v>
      </c>
      <c r="G25" s="6"/>
      <c r="K25" s="6"/>
      <c r="M25" s="2" t="s">
        <v>45</v>
      </c>
      <c r="N25" s="48" t="s">
        <v>46</v>
      </c>
      <c r="O25" s="49"/>
      <c r="P25" s="4">
        <v>276</v>
      </c>
      <c r="Q25" s="4">
        <v>11</v>
      </c>
      <c r="R25" s="4">
        <f t="shared" si="0"/>
        <v>287</v>
      </c>
    </row>
    <row r="26" spans="1:25" ht="24" customHeight="1" x14ac:dyDescent="0.3">
      <c r="A26" s="13"/>
      <c r="B26" s="28" t="s">
        <v>212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126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226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 t="s">
        <v>216</v>
      </c>
      <c r="G29" s="6"/>
      <c r="K29" s="6"/>
      <c r="M29" s="2" t="s">
        <v>229</v>
      </c>
      <c r="N29" s="62" t="s">
        <v>230</v>
      </c>
      <c r="O29" s="63"/>
      <c r="P29" s="4">
        <v>6</v>
      </c>
      <c r="Q29" s="4">
        <v>3</v>
      </c>
      <c r="R29" s="4">
        <f t="shared" si="0"/>
        <v>9</v>
      </c>
    </row>
    <row r="30" spans="1:25" ht="24" customHeight="1" x14ac:dyDescent="0.3">
      <c r="A30" s="13"/>
      <c r="B30" s="28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232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219</v>
      </c>
      <c r="B32" s="28" t="s">
        <v>221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 t="s">
        <v>227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137</v>
      </c>
      <c r="B34" s="28" t="s">
        <v>214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 t="s">
        <v>228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6244</v>
      </c>
      <c r="E42" s="15">
        <v>150</v>
      </c>
      <c r="F42" s="15">
        <f>D42+E42</f>
        <v>6394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/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/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14872</v>
      </c>
      <c r="Q47" s="4">
        <f>SUM(Q10:Q46)</f>
        <v>80</v>
      </c>
      <c r="R47" s="4">
        <f>SUM(R10:R46)</f>
        <v>14952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34</v>
      </c>
      <c r="J49" s="15">
        <v>1</v>
      </c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15</v>
      </c>
      <c r="J50" s="15">
        <v>1</v>
      </c>
      <c r="K50" s="15">
        <f t="shared" si="2"/>
        <v>16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481</v>
      </c>
      <c r="J54" s="15">
        <v>3</v>
      </c>
      <c r="K54" s="15">
        <f t="shared" si="2"/>
        <v>484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4732-1DCB-4184-B893-42B08F35B8F2}">
  <sheetPr>
    <pageSetUpPr fitToPage="1"/>
  </sheetPr>
  <dimension ref="A1:Y83"/>
  <sheetViews>
    <sheetView view="pageBreakPreview" zoomScaleNormal="70" zoomScaleSheetLayoutView="100" workbookViewId="0">
      <selection activeCell="E14" sqref="E14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45429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233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234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235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2408</v>
      </c>
      <c r="Q10" s="4">
        <v>5</v>
      </c>
      <c r="R10" s="4">
        <f>P10+Q10</f>
        <v>2413</v>
      </c>
    </row>
    <row r="11" spans="1:18" ht="24" customHeight="1" x14ac:dyDescent="0.3">
      <c r="A11" s="13"/>
      <c r="B11" s="28" t="s">
        <v>212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1286</v>
      </c>
      <c r="Q11" s="4">
        <v>6</v>
      </c>
      <c r="R11" s="4">
        <f t="shared" ref="R11:R29" si="0">P11+Q11</f>
        <v>1292</v>
      </c>
    </row>
    <row r="12" spans="1:18" ht="24" customHeight="1" x14ac:dyDescent="0.3">
      <c r="A12" s="13"/>
      <c r="B12" s="28" t="s">
        <v>240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 t="s">
        <v>126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400</v>
      </c>
      <c r="Q13" s="4">
        <v>4</v>
      </c>
      <c r="R13" s="4">
        <f t="shared" si="0"/>
        <v>404</v>
      </c>
    </row>
    <row r="14" spans="1:18" ht="24" customHeight="1" x14ac:dyDescent="0.3">
      <c r="A14" s="13"/>
      <c r="B14" s="28" t="s">
        <v>226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216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136</v>
      </c>
      <c r="B16" s="28" t="s">
        <v>232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6274</v>
      </c>
      <c r="Q16" s="4">
        <v>55</v>
      </c>
      <c r="R16" s="4">
        <f t="shared" si="0"/>
        <v>6329</v>
      </c>
    </row>
    <row r="17" spans="1:25" ht="24" customHeight="1" x14ac:dyDescent="0.3">
      <c r="A17" s="13" t="s">
        <v>219</v>
      </c>
      <c r="B17" s="28" t="s">
        <v>221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1220</v>
      </c>
      <c r="Q17" s="4">
        <v>4</v>
      </c>
      <c r="R17" s="4">
        <f>P17+Q17</f>
        <v>1224</v>
      </c>
    </row>
    <row r="18" spans="1:25" ht="24" customHeight="1" x14ac:dyDescent="0.3">
      <c r="A18" s="13" t="s">
        <v>127</v>
      </c>
      <c r="B18" s="28" t="s">
        <v>239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137</v>
      </c>
      <c r="B19" s="28" t="s">
        <v>214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238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 t="s">
        <v>100</v>
      </c>
      <c r="B21" s="28" t="s">
        <v>105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179</v>
      </c>
      <c r="B22" s="28" t="s">
        <v>241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235</v>
      </c>
      <c r="G25" s="6"/>
      <c r="K25" s="6"/>
      <c r="M25" s="2" t="s">
        <v>45</v>
      </c>
      <c r="N25" s="48" t="s">
        <v>46</v>
      </c>
      <c r="O25" s="49"/>
      <c r="P25" s="4">
        <v>287</v>
      </c>
      <c r="Q25" s="4">
        <v>11</v>
      </c>
      <c r="R25" s="4">
        <f t="shared" si="0"/>
        <v>298</v>
      </c>
    </row>
    <row r="26" spans="1:25" ht="24" customHeight="1" x14ac:dyDescent="0.3">
      <c r="A26" s="13"/>
      <c r="B26" s="28" t="s">
        <v>224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212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 t="s">
        <v>236</v>
      </c>
      <c r="G29" s="6"/>
      <c r="K29" s="6"/>
      <c r="M29" s="2" t="s">
        <v>229</v>
      </c>
      <c r="N29" s="62" t="s">
        <v>230</v>
      </c>
      <c r="O29" s="63"/>
      <c r="P29" s="4">
        <v>9</v>
      </c>
      <c r="Q29" s="4">
        <v>3</v>
      </c>
      <c r="R29" s="4">
        <f t="shared" si="0"/>
        <v>12</v>
      </c>
    </row>
    <row r="30" spans="1:25" ht="24" customHeight="1" x14ac:dyDescent="0.3">
      <c r="A30" s="13"/>
      <c r="B30" s="28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237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 t="s">
        <v>232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219</v>
      </c>
      <c r="B34" s="28" t="s">
        <v>221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137</v>
      </c>
      <c r="B36" s="28" t="s">
        <v>228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/>
      <c r="F42" s="15">
        <f>D42+E42</f>
        <v>6394</v>
      </c>
      <c r="G42" s="2" t="s">
        <v>55</v>
      </c>
      <c r="H42" s="2" t="s">
        <v>56</v>
      </c>
      <c r="I42" s="15">
        <v>40</v>
      </c>
      <c r="J42" s="15"/>
      <c r="K42" s="15">
        <f>I42+J42</f>
        <v>40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/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/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14952</v>
      </c>
      <c r="Q47" s="4">
        <f>SUM(Q10:Q46)</f>
        <v>88</v>
      </c>
      <c r="R47" s="4">
        <f>SUM(R10:R46)</f>
        <v>15040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/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16</v>
      </c>
      <c r="J50" s="15">
        <v>1</v>
      </c>
      <c r="K50" s="15">
        <f t="shared" si="2"/>
        <v>17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484</v>
      </c>
      <c r="J54" s="15">
        <v>3</v>
      </c>
      <c r="K54" s="15">
        <f t="shared" si="2"/>
        <v>487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6A2A-70F9-4778-A455-8C3A909AC331}">
  <sheetPr>
    <pageSetUpPr fitToPage="1"/>
  </sheetPr>
  <dimension ref="A1:Y83"/>
  <sheetViews>
    <sheetView view="pageBreakPreview" zoomScaleNormal="70" zoomScaleSheetLayoutView="100" workbookViewId="0">
      <selection activeCell="I10" sqref="I10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45430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242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235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224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2413</v>
      </c>
      <c r="Q10" s="4">
        <v>3</v>
      </c>
      <c r="R10" s="4">
        <f>P10+Q10</f>
        <v>2416</v>
      </c>
    </row>
    <row r="11" spans="1:18" ht="24" customHeight="1" x14ac:dyDescent="0.3">
      <c r="A11" s="13"/>
      <c r="B11" s="28" t="s">
        <v>212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1292</v>
      </c>
      <c r="Q11" s="4">
        <v>6</v>
      </c>
      <c r="R11" s="4">
        <f t="shared" ref="R11:R29" si="0">P11+Q11</f>
        <v>1298</v>
      </c>
    </row>
    <row r="12" spans="1:18" ht="24" customHeight="1" x14ac:dyDescent="0.3">
      <c r="A12" s="13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 t="s">
        <v>236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404</v>
      </c>
      <c r="Q13" s="4">
        <v>4</v>
      </c>
      <c r="R13" s="4">
        <f t="shared" si="0"/>
        <v>408</v>
      </c>
    </row>
    <row r="14" spans="1:18" ht="24" customHeight="1" x14ac:dyDescent="0.3">
      <c r="A14" s="13"/>
      <c r="B14" s="28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136</v>
      </c>
      <c r="B15" s="28" t="s">
        <v>237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 t="s">
        <v>232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6329</v>
      </c>
      <c r="Q16" s="4">
        <v>49</v>
      </c>
      <c r="R16" s="4">
        <f t="shared" si="0"/>
        <v>6378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1224</v>
      </c>
      <c r="Q17" s="4">
        <v>6</v>
      </c>
      <c r="R17" s="4">
        <f>P17+Q17</f>
        <v>1230</v>
      </c>
    </row>
    <row r="18" spans="1:25" ht="24" customHeight="1" x14ac:dyDescent="0.3">
      <c r="A18" s="13" t="s">
        <v>137</v>
      </c>
      <c r="B18" s="28" t="s">
        <v>228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/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179</v>
      </c>
      <c r="B20" s="28" t="s">
        <v>248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215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243</v>
      </c>
      <c r="G25" s="6"/>
      <c r="K25" s="6"/>
      <c r="M25" s="2" t="s">
        <v>45</v>
      </c>
      <c r="N25" s="48" t="s">
        <v>46</v>
      </c>
      <c r="O25" s="49"/>
      <c r="P25" s="4">
        <v>298</v>
      </c>
      <c r="Q25" s="4">
        <v>8</v>
      </c>
      <c r="R25" s="4">
        <f t="shared" si="0"/>
        <v>306</v>
      </c>
    </row>
    <row r="26" spans="1:25" ht="24" customHeight="1" x14ac:dyDescent="0.3">
      <c r="A26" s="13"/>
      <c r="B26" s="28" t="s">
        <v>162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224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244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/>
      <c r="G29" s="6"/>
      <c r="K29" s="6"/>
      <c r="M29" s="2" t="s">
        <v>229</v>
      </c>
      <c r="N29" s="62" t="s">
        <v>230</v>
      </c>
      <c r="O29" s="63"/>
      <c r="P29" s="4">
        <v>12</v>
      </c>
      <c r="Q29" s="4"/>
      <c r="R29" s="4">
        <f t="shared" si="0"/>
        <v>12</v>
      </c>
    </row>
    <row r="30" spans="1:25" ht="24" customHeight="1" x14ac:dyDescent="0.3">
      <c r="A30" s="13" t="s">
        <v>137</v>
      </c>
      <c r="B30" s="28" t="s">
        <v>245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127</v>
      </c>
      <c r="B32" s="28" t="s">
        <v>246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 t="s">
        <v>247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100</v>
      </c>
      <c r="B35" s="28" t="s">
        <v>105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/>
      <c r="F42" s="15">
        <f>D42+E42</f>
        <v>6394</v>
      </c>
      <c r="G42" s="2" t="s">
        <v>55</v>
      </c>
      <c r="H42" s="2" t="s">
        <v>56</v>
      </c>
      <c r="I42" s="15">
        <v>40</v>
      </c>
      <c r="J42" s="15">
        <v>1</v>
      </c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/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/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15040</v>
      </c>
      <c r="Q47" s="4">
        <f>SUM(Q10:Q46)</f>
        <v>76</v>
      </c>
      <c r="R47" s="4">
        <f>SUM(R10:R46)</f>
        <v>15116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/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17</v>
      </c>
      <c r="J50" s="15">
        <v>1</v>
      </c>
      <c r="K50" s="15">
        <f t="shared" si="2"/>
        <v>18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487</v>
      </c>
      <c r="J54" s="15">
        <v>3</v>
      </c>
      <c r="K54" s="15">
        <f t="shared" si="2"/>
        <v>490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6E6D-5400-4CBD-AE78-EDC460EEF2BB}">
  <sheetPr>
    <pageSetUpPr fitToPage="1"/>
  </sheetPr>
  <dimension ref="A1:Y83"/>
  <sheetViews>
    <sheetView view="pageBreakPreview" zoomScaleNormal="70" zoomScaleSheetLayoutView="100" workbookViewId="0">
      <selection activeCell="I14" sqref="I14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45431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249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215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243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162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2416</v>
      </c>
      <c r="Q10" s="4">
        <v>1</v>
      </c>
      <c r="R10" s="4">
        <f>P10+Q10</f>
        <v>2417</v>
      </c>
    </row>
    <row r="11" spans="1:18" ht="24" customHeight="1" x14ac:dyDescent="0.3">
      <c r="A11" s="13"/>
      <c r="B11" s="28" t="s">
        <v>224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1298</v>
      </c>
      <c r="Q11" s="4">
        <v>3</v>
      </c>
      <c r="R11" s="4">
        <f t="shared" ref="R11:R29" si="0">P11+Q11</f>
        <v>1301</v>
      </c>
    </row>
    <row r="12" spans="1:18" ht="24" customHeight="1" x14ac:dyDescent="0.3">
      <c r="A12" s="13"/>
      <c r="B12" s="28" t="s">
        <v>244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/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408</v>
      </c>
      <c r="Q13" s="4">
        <v>2</v>
      </c>
      <c r="R13" s="4">
        <f t="shared" si="0"/>
        <v>410</v>
      </c>
    </row>
    <row r="14" spans="1:18" ht="24" customHeight="1" x14ac:dyDescent="0.3">
      <c r="A14" s="13" t="s">
        <v>137</v>
      </c>
      <c r="B14" s="28" t="s">
        <v>245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127</v>
      </c>
      <c r="B16" s="28" t="s">
        <v>246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6378</v>
      </c>
      <c r="Q16" s="4">
        <v>28</v>
      </c>
      <c r="R16" s="4">
        <f t="shared" si="0"/>
        <v>6406</v>
      </c>
    </row>
    <row r="17" spans="1:25" ht="24" customHeight="1" x14ac:dyDescent="0.3">
      <c r="A17" s="13"/>
      <c r="B17" s="28" t="s">
        <v>247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1230</v>
      </c>
      <c r="Q17" s="4"/>
      <c r="R17" s="4">
        <f>P17+Q17</f>
        <v>1230</v>
      </c>
    </row>
    <row r="18" spans="1:25" ht="24" customHeight="1" x14ac:dyDescent="0.3">
      <c r="A18" s="13"/>
      <c r="B18" s="28"/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100</v>
      </c>
      <c r="B19" s="28" t="s">
        <v>105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215</v>
      </c>
      <c r="G25" s="6"/>
      <c r="K25" s="6"/>
      <c r="M25" s="2" t="s">
        <v>45</v>
      </c>
      <c r="N25" s="48" t="s">
        <v>46</v>
      </c>
      <c r="O25" s="49"/>
      <c r="P25" s="4">
        <v>306</v>
      </c>
      <c r="Q25" s="4">
        <v>12</v>
      </c>
      <c r="R25" s="4">
        <f t="shared" si="0"/>
        <v>318</v>
      </c>
    </row>
    <row r="26" spans="1:25" ht="24" customHeight="1" x14ac:dyDescent="0.3">
      <c r="A26" s="13"/>
      <c r="B26" s="28" t="s">
        <v>243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162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224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 t="s">
        <v>126</v>
      </c>
      <c r="G29" s="6"/>
      <c r="K29" s="6"/>
      <c r="M29" s="2" t="s">
        <v>229</v>
      </c>
      <c r="N29" s="62" t="s">
        <v>230</v>
      </c>
      <c r="O29" s="63"/>
      <c r="P29" s="4">
        <v>12</v>
      </c>
      <c r="Q29" s="4"/>
      <c r="R29" s="4">
        <f t="shared" si="0"/>
        <v>12</v>
      </c>
    </row>
    <row r="30" spans="1:25" ht="24" customHeight="1" x14ac:dyDescent="0.3">
      <c r="A30" s="13"/>
      <c r="B30" s="28" t="s">
        <v>187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137</v>
      </c>
      <c r="B32" s="28" t="s">
        <v>245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219</v>
      </c>
      <c r="B33" s="28" t="s">
        <v>251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 t="s">
        <v>252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 t="s">
        <v>252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127</v>
      </c>
      <c r="B36" s="28" t="s">
        <v>250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179</v>
      </c>
      <c r="B37" s="28" t="s">
        <v>253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/>
      <c r="F42" s="15">
        <f>D42+E42</f>
        <v>6394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/>
      <c r="F43" s="15">
        <f t="shared" ref="F43:F49" si="1">D43+E43</f>
        <v>1963.9339999999997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/>
      <c r="F44" s="15">
        <f t="shared" si="1"/>
        <v>5881.8849999999966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/>
      <c r="F45" s="15">
        <f t="shared" si="1"/>
        <v>71.064000000000007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/>
      <c r="F47" s="15">
        <f>D47+E47</f>
        <v>51.411999999999999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15116</v>
      </c>
      <c r="Q47" s="4">
        <f>SUM(Q10:Q46)</f>
        <v>46</v>
      </c>
      <c r="R47" s="4">
        <f>SUM(R10:R46)</f>
        <v>15162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/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18</v>
      </c>
      <c r="J50" s="15">
        <v>1</v>
      </c>
      <c r="K50" s="15">
        <f t="shared" si="2"/>
        <v>19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490</v>
      </c>
      <c r="J54" s="15">
        <v>3</v>
      </c>
      <c r="K54" s="15">
        <f t="shared" si="2"/>
        <v>493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C4B2-0300-4E3E-898C-F7BD3609ED87}">
  <sheetPr>
    <pageSetUpPr fitToPage="1"/>
  </sheetPr>
  <dimension ref="A1:Y83"/>
  <sheetViews>
    <sheetView view="pageBreakPreview" zoomScaleNormal="70" zoomScaleSheetLayoutView="100" workbookViewId="0">
      <selection activeCell="R10" sqref="R10:R29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45432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249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215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243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2417</v>
      </c>
      <c r="Q10" s="4">
        <v>5</v>
      </c>
      <c r="R10" s="4">
        <f>P10+Q10</f>
        <v>2422</v>
      </c>
    </row>
    <row r="11" spans="1:18" ht="24" customHeight="1" x14ac:dyDescent="0.3">
      <c r="A11" s="13"/>
      <c r="B11" s="28" t="s">
        <v>162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1301</v>
      </c>
      <c r="Q11" s="4">
        <v>6</v>
      </c>
      <c r="R11" s="4">
        <f t="shared" ref="R11:R29" si="0">P11+Q11</f>
        <v>1307</v>
      </c>
    </row>
    <row r="12" spans="1:18" ht="24" customHeight="1" x14ac:dyDescent="0.3">
      <c r="A12" s="13"/>
      <c r="B12" s="28" t="s">
        <v>224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 t="s">
        <v>126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410</v>
      </c>
      <c r="Q13" s="4">
        <v>3</v>
      </c>
      <c r="R13" s="4">
        <f t="shared" si="0"/>
        <v>413</v>
      </c>
    </row>
    <row r="14" spans="1:18" ht="24" customHeight="1" x14ac:dyDescent="0.3">
      <c r="A14" s="13"/>
      <c r="B14" s="28" t="s">
        <v>187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137</v>
      </c>
      <c r="B16" s="28" t="s">
        <v>245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6406</v>
      </c>
      <c r="Q16" s="4">
        <v>37</v>
      </c>
      <c r="R16" s="4">
        <f t="shared" si="0"/>
        <v>6443</v>
      </c>
    </row>
    <row r="17" spans="1:25" ht="24" customHeight="1" x14ac:dyDescent="0.3">
      <c r="A17" s="13" t="s">
        <v>219</v>
      </c>
      <c r="B17" s="28" t="s">
        <v>251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1230</v>
      </c>
      <c r="Q17" s="4">
        <v>4</v>
      </c>
      <c r="R17" s="4">
        <f>P17+Q17</f>
        <v>1234</v>
      </c>
    </row>
    <row r="18" spans="1:25" ht="24" customHeight="1" x14ac:dyDescent="0.3">
      <c r="A18" s="13"/>
      <c r="B18" s="28" t="s">
        <v>252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 t="s">
        <v>252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127</v>
      </c>
      <c r="B20" s="28" t="s">
        <v>141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/>
      <c r="R20" s="4">
        <f>P20+Q20</f>
        <v>30</v>
      </c>
    </row>
    <row r="21" spans="1:25" ht="24" customHeight="1" x14ac:dyDescent="0.3">
      <c r="A21" s="13" t="s">
        <v>179</v>
      </c>
      <c r="B21" s="28" t="s">
        <v>254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162</v>
      </c>
      <c r="G25" s="6"/>
      <c r="K25" s="6"/>
      <c r="M25" s="2" t="s">
        <v>45</v>
      </c>
      <c r="N25" s="48" t="s">
        <v>46</v>
      </c>
      <c r="O25" s="49"/>
      <c r="P25" s="4">
        <v>318</v>
      </c>
      <c r="Q25" s="4">
        <v>12</v>
      </c>
      <c r="R25" s="4">
        <f t="shared" si="0"/>
        <v>330</v>
      </c>
    </row>
    <row r="26" spans="1:25" ht="24" customHeight="1" x14ac:dyDescent="0.3">
      <c r="A26" s="13"/>
      <c r="B26" s="28" t="s">
        <v>224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126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187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6"/>
      <c r="B29" s="28" t="s">
        <v>255</v>
      </c>
      <c r="G29" s="6"/>
      <c r="K29" s="6"/>
      <c r="M29" s="2" t="s">
        <v>229</v>
      </c>
      <c r="N29" s="62" t="s">
        <v>230</v>
      </c>
      <c r="O29" s="63"/>
      <c r="P29" s="4">
        <v>12</v>
      </c>
      <c r="Q29" s="4">
        <v>4</v>
      </c>
      <c r="R29" s="4">
        <f t="shared" si="0"/>
        <v>16</v>
      </c>
    </row>
    <row r="30" spans="1:25" ht="24" customHeight="1" x14ac:dyDescent="0.3">
      <c r="A30" s="13" t="s">
        <v>137</v>
      </c>
      <c r="B30" s="28" t="s">
        <v>245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219</v>
      </c>
      <c r="B31" s="28" t="s">
        <v>251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 t="s">
        <v>252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256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135</v>
      </c>
      <c r="B34" s="28" t="s">
        <v>257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 t="s">
        <v>258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179</v>
      </c>
      <c r="B36" s="28" t="s">
        <v>253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/>
      <c r="F42" s="15">
        <f>D42+E42</f>
        <v>6394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1963.9339999999997</v>
      </c>
      <c r="E43" s="15">
        <v>5.6449999999999996</v>
      </c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5881.8849999999966</v>
      </c>
      <c r="E44" s="15">
        <v>3.82</v>
      </c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71.064000000000007</v>
      </c>
      <c r="E45" s="15">
        <v>1.8720000000000001</v>
      </c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51.411999999999999</v>
      </c>
      <c r="E47" s="15">
        <v>5.9820000000000002</v>
      </c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15162</v>
      </c>
      <c r="Q47" s="4">
        <f>SUM(Q10:Q46)</f>
        <v>71</v>
      </c>
      <c r="R47" s="4">
        <f>SUM(R10:R46)</f>
        <v>15233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/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19</v>
      </c>
      <c r="J50" s="15">
        <v>1</v>
      </c>
      <c r="K50" s="15">
        <f t="shared" si="2"/>
        <v>20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80</v>
      </c>
      <c r="I52" s="15">
        <v>34</v>
      </c>
      <c r="J52" s="15"/>
      <c r="K52" s="15">
        <f>I52+J52</f>
        <v>34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493</v>
      </c>
      <c r="J54" s="15">
        <v>3</v>
      </c>
      <c r="K54" s="15">
        <f t="shared" si="2"/>
        <v>496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1527-B76F-45EC-A5CF-1D2F8648F29F}">
  <sheetPr>
    <pageSetUpPr fitToPage="1"/>
  </sheetPr>
  <dimension ref="A1:Y83"/>
  <sheetViews>
    <sheetView view="pageBreakPreview" topLeftCell="A14" zoomScaleNormal="70" zoomScaleSheetLayoutView="100" workbookViewId="0">
      <selection activeCell="I11" sqref="I11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45433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271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261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2422</v>
      </c>
      <c r="Q10" s="4">
        <v>6</v>
      </c>
      <c r="R10" s="4">
        <f>P10+Q10</f>
        <v>2428</v>
      </c>
    </row>
    <row r="11" spans="1:18" ht="24" customHeight="1" x14ac:dyDescent="0.3">
      <c r="A11" s="13"/>
      <c r="B11" s="28" t="s">
        <v>126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1307</v>
      </c>
      <c r="Q11" s="4">
        <v>6</v>
      </c>
      <c r="R11" s="4">
        <f t="shared" ref="R11:R29" si="0">P11+Q11</f>
        <v>1313</v>
      </c>
    </row>
    <row r="12" spans="1:18" ht="24" customHeight="1" x14ac:dyDescent="0.3">
      <c r="A12" s="13"/>
      <c r="B12" s="28" t="s">
        <v>187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6"/>
      <c r="B13" s="28" t="s">
        <v>255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413</v>
      </c>
      <c r="Q13" s="4">
        <v>2</v>
      </c>
      <c r="R13" s="4">
        <f t="shared" si="0"/>
        <v>415</v>
      </c>
    </row>
    <row r="14" spans="1:18" ht="24" customHeight="1" x14ac:dyDescent="0.3">
      <c r="A14" s="13" t="s">
        <v>137</v>
      </c>
      <c r="B14" s="28" t="s">
        <v>259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269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136</v>
      </c>
      <c r="B16" s="28" t="s">
        <v>264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6443</v>
      </c>
      <c r="Q16" s="4">
        <v>42</v>
      </c>
      <c r="R16" s="4">
        <f t="shared" si="0"/>
        <v>6485</v>
      </c>
    </row>
    <row r="17" spans="1:25" ht="24" customHeight="1" x14ac:dyDescent="0.3">
      <c r="A17" s="13"/>
      <c r="B17" s="28" t="s">
        <v>265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1234</v>
      </c>
      <c r="Q17" s="4">
        <v>4</v>
      </c>
      <c r="R17" s="4">
        <f>P17+Q17</f>
        <v>1238</v>
      </c>
    </row>
    <row r="18" spans="1:25" ht="24" customHeight="1" x14ac:dyDescent="0.3">
      <c r="A18" s="13" t="s">
        <v>219</v>
      </c>
      <c r="B18" s="28" t="s">
        <v>263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127</v>
      </c>
      <c r="B19" s="28" t="s">
        <v>256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135</v>
      </c>
      <c r="B20" s="28" t="s">
        <v>257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30</v>
      </c>
      <c r="Q20" s="4">
        <v>2</v>
      </c>
      <c r="R20" s="4">
        <f>P20+Q20</f>
        <v>32</v>
      </c>
    </row>
    <row r="21" spans="1:25" ht="24" customHeight="1" x14ac:dyDescent="0.3">
      <c r="A21" s="13" t="s">
        <v>179</v>
      </c>
      <c r="B21" s="28" t="s">
        <v>254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262</v>
      </c>
      <c r="G25" s="6"/>
      <c r="K25" s="6"/>
      <c r="M25" s="2" t="s">
        <v>45</v>
      </c>
      <c r="N25" s="48" t="s">
        <v>46</v>
      </c>
      <c r="O25" s="49"/>
      <c r="P25" s="4">
        <v>330</v>
      </c>
      <c r="Q25" s="4">
        <v>14</v>
      </c>
      <c r="R25" s="4">
        <f t="shared" si="0"/>
        <v>344</v>
      </c>
    </row>
    <row r="26" spans="1:25" ht="24" customHeight="1" x14ac:dyDescent="0.3">
      <c r="A26" s="13"/>
      <c r="B26" s="28" t="s">
        <v>261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126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/>
      <c r="B28" s="28" t="s">
        <v>187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270</v>
      </c>
      <c r="G29" s="6"/>
      <c r="K29" s="6"/>
      <c r="M29" s="2" t="s">
        <v>229</v>
      </c>
      <c r="N29" s="62" t="s">
        <v>230</v>
      </c>
      <c r="O29" s="63"/>
      <c r="P29" s="4">
        <v>16</v>
      </c>
      <c r="Q29" s="4">
        <v>4</v>
      </c>
      <c r="R29" s="4">
        <f t="shared" si="0"/>
        <v>20</v>
      </c>
    </row>
    <row r="30" spans="1:25" ht="24" customHeight="1" x14ac:dyDescent="0.3">
      <c r="A30" s="45" t="s">
        <v>136</v>
      </c>
      <c r="B30" s="28" t="s">
        <v>264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 t="s">
        <v>265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 t="s">
        <v>267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 t="s">
        <v>268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137</v>
      </c>
      <c r="B34" s="28" t="s">
        <v>260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219</v>
      </c>
      <c r="B35" s="28" t="s">
        <v>266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127</v>
      </c>
      <c r="B36" s="28" t="s">
        <v>256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179</v>
      </c>
      <c r="B37" s="28" t="s">
        <v>253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/>
      <c r="F42" s="15">
        <f>D42+E42</f>
        <v>6394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/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/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/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/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15233</v>
      </c>
      <c r="Q47" s="4">
        <f>SUM(Q10:Q46)</f>
        <v>80</v>
      </c>
      <c r="R47" s="4">
        <f>SUM(R10:R46)</f>
        <v>15313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/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20</v>
      </c>
      <c r="J50" s="15">
        <v>1</v>
      </c>
      <c r="K50" s="15">
        <f t="shared" si="2"/>
        <v>21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143</v>
      </c>
      <c r="I52" s="15">
        <v>1</v>
      </c>
      <c r="J52" s="15">
        <v>1</v>
      </c>
      <c r="K52" s="21">
        <f t="shared" si="2"/>
        <v>2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496</v>
      </c>
      <c r="J54" s="15">
        <v>4</v>
      </c>
      <c r="K54" s="15">
        <f t="shared" si="2"/>
        <v>500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7154-612C-4EE1-A539-B0484C57BF6F}">
  <sheetPr>
    <pageSetUpPr fitToPage="1"/>
  </sheetPr>
  <dimension ref="A1:Y83"/>
  <sheetViews>
    <sheetView view="pageBreakPreview" topLeftCell="A24" zoomScaleNormal="70" zoomScaleSheetLayoutView="100" workbookViewId="0">
      <selection activeCell="A19" sqref="A19:B19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45434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279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261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2428</v>
      </c>
      <c r="Q10" s="4">
        <v>6</v>
      </c>
      <c r="R10" s="4">
        <f>P10+Q10</f>
        <v>2434</v>
      </c>
    </row>
    <row r="11" spans="1:18" ht="24" customHeight="1" x14ac:dyDescent="0.3">
      <c r="A11" s="13"/>
      <c r="B11" s="28" t="s">
        <v>126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1313</v>
      </c>
      <c r="Q11" s="4">
        <v>12</v>
      </c>
      <c r="R11" s="4">
        <f t="shared" ref="R11:R29" si="0">P11+Q11</f>
        <v>1325</v>
      </c>
    </row>
    <row r="12" spans="1:18" ht="24" customHeight="1" x14ac:dyDescent="0.3">
      <c r="A12" s="13"/>
      <c r="B12" s="28" t="s">
        <v>272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270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415</v>
      </c>
      <c r="Q13" s="4">
        <v>3</v>
      </c>
      <c r="R13" s="4">
        <f t="shared" si="0"/>
        <v>418</v>
      </c>
    </row>
    <row r="14" spans="1:18" ht="24" customHeight="1" x14ac:dyDescent="0.3">
      <c r="A14" s="45" t="s">
        <v>136</v>
      </c>
      <c r="B14" s="28" t="s">
        <v>264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265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 t="s">
        <v>267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6485</v>
      </c>
      <c r="Q16" s="4">
        <v>35</v>
      </c>
      <c r="R16" s="4">
        <f t="shared" si="0"/>
        <v>6520</v>
      </c>
    </row>
    <row r="17" spans="1:25" ht="24" customHeight="1" x14ac:dyDescent="0.3">
      <c r="A17" s="13"/>
      <c r="B17" s="28" t="s">
        <v>268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1238</v>
      </c>
      <c r="Q17" s="4">
        <v>6</v>
      </c>
      <c r="R17" s="4">
        <f>P17+Q17</f>
        <v>1244</v>
      </c>
    </row>
    <row r="18" spans="1:25" ht="24" customHeight="1" x14ac:dyDescent="0.3">
      <c r="A18" s="13" t="s">
        <v>137</v>
      </c>
      <c r="B18" s="28" t="s">
        <v>259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219</v>
      </c>
      <c r="B19" s="28" t="s">
        <v>266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127</v>
      </c>
      <c r="B20" s="28" t="s">
        <v>256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 t="s">
        <v>179</v>
      </c>
      <c r="B21" s="28" t="s">
        <v>273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274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176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275</v>
      </c>
      <c r="G25" s="6"/>
      <c r="K25" s="6"/>
      <c r="M25" s="2" t="s">
        <v>45</v>
      </c>
      <c r="N25" s="48" t="s">
        <v>46</v>
      </c>
      <c r="O25" s="49"/>
      <c r="P25" s="4">
        <v>344</v>
      </c>
      <c r="Q25" s="4">
        <v>12</v>
      </c>
      <c r="R25" s="4">
        <f t="shared" si="0"/>
        <v>356</v>
      </c>
    </row>
    <row r="26" spans="1:25" ht="24" customHeight="1" x14ac:dyDescent="0.3">
      <c r="A26" s="13"/>
      <c r="B26" s="28" t="s">
        <v>125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277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278</v>
      </c>
      <c r="G29" s="6"/>
      <c r="K29" s="6"/>
      <c r="M29" s="2" t="s">
        <v>229</v>
      </c>
      <c r="N29" s="62" t="s">
        <v>230</v>
      </c>
      <c r="O29" s="63"/>
      <c r="P29" s="4">
        <v>20</v>
      </c>
      <c r="Q29" s="4">
        <v>4</v>
      </c>
      <c r="R29" s="4">
        <f t="shared" si="0"/>
        <v>24</v>
      </c>
    </row>
    <row r="30" spans="1:25" ht="24" customHeight="1" x14ac:dyDescent="0.3">
      <c r="B30" s="5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45" t="s">
        <v>136</v>
      </c>
      <c r="B31" s="28" t="s">
        <v>264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137</v>
      </c>
      <c r="B32" s="28" t="s">
        <v>228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45"/>
      <c r="B33" s="28" t="s">
        <v>276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127</v>
      </c>
      <c r="B34" s="28" t="s">
        <v>256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179</v>
      </c>
      <c r="B35" s="28" t="s">
        <v>253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 t="s">
        <v>100</v>
      </c>
      <c r="B36" s="28" t="s">
        <v>105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/>
      <c r="F42" s="15">
        <f>D42+E42</f>
        <v>6394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/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/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/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/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15313</v>
      </c>
      <c r="Q47" s="4">
        <f>SUM(Q10:Q46)</f>
        <v>78</v>
      </c>
      <c r="R47" s="4">
        <f>SUM(R10:R46)</f>
        <v>15391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/>
      <c r="K49" s="15">
        <f t="shared" si="2"/>
        <v>35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21</v>
      </c>
      <c r="J50" s="15">
        <v>1</v>
      </c>
      <c r="K50" s="15">
        <f t="shared" si="2"/>
        <v>22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143</v>
      </c>
      <c r="I52" s="15">
        <v>2</v>
      </c>
      <c r="J52" s="15"/>
      <c r="K52" s="21">
        <f t="shared" si="2"/>
        <v>2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500</v>
      </c>
      <c r="J54" s="15">
        <v>4</v>
      </c>
      <c r="K54" s="15">
        <f t="shared" si="2"/>
        <v>504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2744-5147-4234-AEEE-44DA88E6D264}">
  <sheetPr>
    <pageSetUpPr fitToPage="1"/>
  </sheetPr>
  <dimension ref="A1:Y83"/>
  <sheetViews>
    <sheetView view="pageBreakPreview" topLeftCell="A38" zoomScaleNormal="70" zoomScaleSheetLayoutView="100" workbookViewId="0">
      <selection activeCell="B15" sqref="A15:B15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45435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279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176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275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125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2434</v>
      </c>
      <c r="Q10" s="4">
        <v>6</v>
      </c>
      <c r="R10" s="4">
        <f>P10+Q10</f>
        <v>2440</v>
      </c>
    </row>
    <row r="11" spans="1:18" ht="24" customHeight="1" x14ac:dyDescent="0.3">
      <c r="A11" s="13"/>
      <c r="B11" s="28" t="s">
        <v>262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1325</v>
      </c>
      <c r="Q11" s="4">
        <v>7</v>
      </c>
      <c r="R11" s="4">
        <f t="shared" ref="R11:R29" si="0">P11+Q11</f>
        <v>1332</v>
      </c>
    </row>
    <row r="12" spans="1:18" ht="24" customHeight="1" x14ac:dyDescent="0.3">
      <c r="A12" s="45"/>
      <c r="B12" s="28"/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 t="s">
        <v>136</v>
      </c>
      <c r="B13" s="28" t="s">
        <v>264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418</v>
      </c>
      <c r="Q13" s="4">
        <v>2</v>
      </c>
      <c r="R13" s="4">
        <f t="shared" si="0"/>
        <v>420</v>
      </c>
    </row>
    <row r="14" spans="1:18" ht="24" customHeight="1" x14ac:dyDescent="0.3">
      <c r="A14" s="13" t="s">
        <v>137</v>
      </c>
      <c r="B14" s="47" t="s">
        <v>280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219</v>
      </c>
      <c r="B15" s="28" t="s">
        <v>266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127</v>
      </c>
      <c r="B16" s="28" t="s">
        <v>281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6520</v>
      </c>
      <c r="Q16" s="4">
        <v>32</v>
      </c>
      <c r="R16" s="4">
        <f t="shared" si="0"/>
        <v>6552</v>
      </c>
    </row>
    <row r="17" spans="1:25" ht="24" customHeight="1" x14ac:dyDescent="0.3">
      <c r="A17" s="13" t="s">
        <v>179</v>
      </c>
      <c r="B17" s="28" t="s">
        <v>282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1244</v>
      </c>
      <c r="Q17" s="4">
        <v>4</v>
      </c>
      <c r="R17" s="4">
        <f>P17+Q17</f>
        <v>1248</v>
      </c>
    </row>
    <row r="18" spans="1:25" ht="24" customHeight="1" x14ac:dyDescent="0.3">
      <c r="A18" s="13" t="s">
        <v>100</v>
      </c>
      <c r="B18" s="28" t="s">
        <v>105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 t="s">
        <v>288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262</v>
      </c>
      <c r="G25" s="6"/>
      <c r="K25" s="6"/>
      <c r="M25" s="2" t="s">
        <v>45</v>
      </c>
      <c r="N25" s="48" t="s">
        <v>46</v>
      </c>
      <c r="O25" s="49"/>
      <c r="P25" s="4">
        <v>356</v>
      </c>
      <c r="Q25" s="4">
        <v>12</v>
      </c>
      <c r="R25" s="4">
        <f t="shared" si="0"/>
        <v>368</v>
      </c>
    </row>
    <row r="26" spans="1:25" ht="24" customHeight="1" x14ac:dyDescent="0.3">
      <c r="A26" s="13"/>
      <c r="B26" s="28" t="s">
        <v>283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285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284</v>
      </c>
      <c r="G29" s="6"/>
      <c r="K29" s="6"/>
      <c r="M29" s="2" t="s">
        <v>229</v>
      </c>
      <c r="N29" s="62" t="s">
        <v>230</v>
      </c>
      <c r="O29" s="63"/>
      <c r="P29" s="4">
        <v>24</v>
      </c>
      <c r="Q29" s="4">
        <v>4</v>
      </c>
      <c r="R29" s="4">
        <f t="shared" si="0"/>
        <v>28</v>
      </c>
    </row>
    <row r="30" spans="1:25" ht="24" customHeight="1" x14ac:dyDescent="0.3">
      <c r="B30" s="5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45" t="s">
        <v>136</v>
      </c>
      <c r="B31" s="28" t="s">
        <v>286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137</v>
      </c>
      <c r="B32" s="28" t="s">
        <v>287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281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179</v>
      </c>
      <c r="B34" s="28" t="s">
        <v>253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100</v>
      </c>
      <c r="B35" s="28" t="s">
        <v>105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6394</v>
      </c>
      <c r="E42" s="15">
        <v>112</v>
      </c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/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/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/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/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15391</v>
      </c>
      <c r="Q47" s="4">
        <f>SUM(Q10:Q46)</f>
        <v>67</v>
      </c>
      <c r="R47" s="4">
        <f>SUM(R10:R46)</f>
        <v>15458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35</v>
      </c>
      <c r="J49" s="15">
        <v>1</v>
      </c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22</v>
      </c>
      <c r="J50" s="15">
        <v>1</v>
      </c>
      <c r="K50" s="15">
        <f t="shared" si="2"/>
        <v>23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143</v>
      </c>
      <c r="I52" s="15">
        <v>2</v>
      </c>
      <c r="J52" s="15"/>
      <c r="K52" s="21">
        <f t="shared" si="2"/>
        <v>2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504</v>
      </c>
      <c r="J54" s="15">
        <v>4</v>
      </c>
      <c r="K54" s="15">
        <f t="shared" si="2"/>
        <v>508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16E6-C35C-4298-9906-1B2EFE6342AF}">
  <sheetPr>
    <pageSetUpPr fitToPage="1"/>
  </sheetPr>
  <dimension ref="A1:Y83"/>
  <sheetViews>
    <sheetView view="pageBreakPreview" zoomScaleNormal="70" zoomScaleSheetLayoutView="100" workbookViewId="0">
      <selection activeCell="H12" sqref="H12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45436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289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116</v>
      </c>
      <c r="B8" s="28" t="s">
        <v>125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262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283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2440</v>
      </c>
      <c r="Q10" s="4">
        <v>6</v>
      </c>
      <c r="R10" s="4">
        <f>P10+Q10</f>
        <v>2446</v>
      </c>
    </row>
    <row r="11" spans="1:18" ht="24" customHeight="1" x14ac:dyDescent="0.3">
      <c r="A11" s="13"/>
      <c r="B11" s="28" t="s">
        <v>285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1332</v>
      </c>
      <c r="Q11" s="4">
        <v>7</v>
      </c>
      <c r="R11" s="4">
        <f t="shared" ref="R11:R29" si="0">P11+Q11</f>
        <v>1339</v>
      </c>
    </row>
    <row r="12" spans="1:18" ht="24" customHeight="1" x14ac:dyDescent="0.3">
      <c r="A12" s="45"/>
      <c r="B12" s="28" t="s">
        <v>126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284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420</v>
      </c>
      <c r="Q13" s="4">
        <v>3</v>
      </c>
      <c r="R13" s="4">
        <f t="shared" si="0"/>
        <v>423</v>
      </c>
    </row>
    <row r="14" spans="1:18" ht="24" customHeight="1" x14ac:dyDescent="0.3">
      <c r="B14" s="5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137</v>
      </c>
      <c r="B15" s="28" t="s">
        <v>287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158</v>
      </c>
      <c r="B16" s="28" t="s">
        <v>292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6552</v>
      </c>
      <c r="Q16" s="4">
        <v>50</v>
      </c>
      <c r="R16" s="4">
        <f t="shared" si="0"/>
        <v>6602</v>
      </c>
    </row>
    <row r="17" spans="1:25" ht="24" customHeight="1" x14ac:dyDescent="0.3">
      <c r="A17" s="13" t="s">
        <v>127</v>
      </c>
      <c r="B17" s="28" t="s">
        <v>281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1248</v>
      </c>
      <c r="Q17" s="4"/>
      <c r="R17" s="4">
        <f>P17+Q17</f>
        <v>1248</v>
      </c>
    </row>
    <row r="18" spans="1:25" ht="24" customHeight="1" x14ac:dyDescent="0.3">
      <c r="A18" s="13" t="s">
        <v>179</v>
      </c>
      <c r="B18" s="28" t="s">
        <v>290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100</v>
      </c>
      <c r="B19" s="28" t="s">
        <v>105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288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116</v>
      </c>
      <c r="B24" s="28" t="s">
        <v>125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262</v>
      </c>
      <c r="G25" s="6"/>
      <c r="K25" s="6"/>
      <c r="M25" s="2" t="s">
        <v>45</v>
      </c>
      <c r="N25" s="48" t="s">
        <v>46</v>
      </c>
      <c r="O25" s="49"/>
      <c r="P25" s="4">
        <v>368</v>
      </c>
      <c r="Q25" s="4">
        <v>14</v>
      </c>
      <c r="R25" s="4">
        <f t="shared" si="0"/>
        <v>382</v>
      </c>
    </row>
    <row r="26" spans="1:25" ht="24" customHeight="1" x14ac:dyDescent="0.3">
      <c r="A26" s="13"/>
      <c r="B26" s="28" t="s">
        <v>283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/>
      <c r="R26" s="4">
        <f t="shared" si="0"/>
        <v>92</v>
      </c>
    </row>
    <row r="27" spans="1:25" ht="24" customHeight="1" x14ac:dyDescent="0.3">
      <c r="A27" s="13"/>
      <c r="B27" s="28" t="s">
        <v>285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126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284</v>
      </c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B30" s="5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137</v>
      </c>
      <c r="B31" s="28" t="s">
        <v>291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281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179</v>
      </c>
      <c r="B35" s="28" t="s">
        <v>253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/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/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/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/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/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15458</v>
      </c>
      <c r="Q47" s="4">
        <f>SUM(Q10:Q46)</f>
        <v>80</v>
      </c>
      <c r="R47" s="4">
        <f>SUM(R10:R46)</f>
        <v>15538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36</v>
      </c>
      <c r="J49" s="15"/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23</v>
      </c>
      <c r="J50" s="15">
        <v>1</v>
      </c>
      <c r="K50" s="15">
        <f t="shared" si="2"/>
        <v>24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143</v>
      </c>
      <c r="I52" s="15">
        <v>2</v>
      </c>
      <c r="J52" s="15">
        <v>1</v>
      </c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508</v>
      </c>
      <c r="J54" s="15">
        <v>4</v>
      </c>
      <c r="K54" s="15">
        <f t="shared" si="2"/>
        <v>512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7B0B-2A64-42C3-AAAD-F483C31C13AB}">
  <sheetPr>
    <pageSetUpPr fitToPage="1"/>
  </sheetPr>
  <dimension ref="A1:Y83"/>
  <sheetViews>
    <sheetView view="pageBreakPreview" topLeftCell="A32" zoomScaleNormal="70" zoomScaleSheetLayoutView="100" workbookViewId="0">
      <selection activeCell="I18" sqref="I18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45437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312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294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295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303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2446</v>
      </c>
      <c r="Q10" s="4">
        <v>6</v>
      </c>
      <c r="R10" s="4">
        <f>P10+Q10</f>
        <v>2452</v>
      </c>
    </row>
    <row r="11" spans="1:18" ht="24" customHeight="1" x14ac:dyDescent="0.3">
      <c r="A11" s="13"/>
      <c r="B11" s="28" t="s">
        <v>304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1339</v>
      </c>
      <c r="Q11" s="4">
        <v>12</v>
      </c>
      <c r="R11" s="4">
        <f t="shared" ref="R11:R29" si="0">P11+Q11</f>
        <v>1351</v>
      </c>
    </row>
    <row r="12" spans="1:18" ht="24" customHeight="1" x14ac:dyDescent="0.3">
      <c r="A12" s="45"/>
      <c r="B12" s="28" t="s">
        <v>296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305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423</v>
      </c>
      <c r="Q13" s="4">
        <v>4</v>
      </c>
      <c r="R13" s="4">
        <f t="shared" si="0"/>
        <v>427</v>
      </c>
    </row>
    <row r="14" spans="1:18" ht="24" customHeight="1" x14ac:dyDescent="0.3">
      <c r="B14" s="5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297</v>
      </c>
      <c r="B15" s="28" t="s">
        <v>298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158</v>
      </c>
      <c r="B16" s="28" t="s">
        <v>292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6602</v>
      </c>
      <c r="Q16" s="4">
        <v>56</v>
      </c>
      <c r="R16" s="4">
        <f t="shared" si="0"/>
        <v>6658</v>
      </c>
    </row>
    <row r="17" spans="1:25" ht="24" customHeight="1" x14ac:dyDescent="0.3">
      <c r="A17" s="13" t="s">
        <v>299</v>
      </c>
      <c r="B17" s="28" t="s">
        <v>306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1248</v>
      </c>
      <c r="Q17" s="4"/>
      <c r="R17" s="4">
        <f>P17+Q17</f>
        <v>1248</v>
      </c>
    </row>
    <row r="18" spans="1:25" ht="24" customHeight="1" x14ac:dyDescent="0.3">
      <c r="A18" s="13"/>
      <c r="B18" s="28" t="s">
        <v>307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300</v>
      </c>
      <c r="B19" s="28" t="s">
        <v>308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 t="s">
        <v>301</v>
      </c>
      <c r="B20" s="28" t="s">
        <v>302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294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295</v>
      </c>
      <c r="G25" s="6"/>
      <c r="K25" s="6"/>
      <c r="M25" s="2" t="s">
        <v>45</v>
      </c>
      <c r="N25" s="48" t="s">
        <v>46</v>
      </c>
      <c r="O25" s="49"/>
      <c r="P25" s="4">
        <v>382</v>
      </c>
      <c r="Q25" s="4">
        <v>9</v>
      </c>
      <c r="R25" s="4">
        <f t="shared" si="0"/>
        <v>391</v>
      </c>
    </row>
    <row r="26" spans="1:25" ht="24" customHeight="1" x14ac:dyDescent="0.3">
      <c r="A26" s="13"/>
      <c r="B26" s="28" t="s">
        <v>309</v>
      </c>
      <c r="C26" s="14"/>
      <c r="G26" s="6"/>
      <c r="K26" s="6"/>
      <c r="M26" s="2" t="s">
        <v>117</v>
      </c>
      <c r="N26" s="48" t="s">
        <v>118</v>
      </c>
      <c r="O26" s="49"/>
      <c r="P26" s="4">
        <v>92</v>
      </c>
      <c r="Q26" s="4">
        <v>2</v>
      </c>
      <c r="R26" s="4">
        <f t="shared" si="0"/>
        <v>94</v>
      </c>
    </row>
    <row r="27" spans="1:25" ht="24" customHeight="1" x14ac:dyDescent="0.3">
      <c r="A27" s="13"/>
      <c r="B27" s="28" t="s">
        <v>296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305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310</v>
      </c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B30" s="5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297</v>
      </c>
      <c r="B31" s="28" t="s">
        <v>311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/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/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/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/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/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/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15538</v>
      </c>
      <c r="Q47" s="4">
        <f>SUM(Q10:Q46)</f>
        <v>89</v>
      </c>
      <c r="R47" s="4">
        <f>SUM(R10:R46)</f>
        <v>15627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36</v>
      </c>
      <c r="J49" s="15"/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24</v>
      </c>
      <c r="J50" s="15">
        <v>1</v>
      </c>
      <c r="K50" s="15">
        <f t="shared" si="2"/>
        <v>25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512</v>
      </c>
      <c r="J54" s="15">
        <v>4</v>
      </c>
      <c r="K54" s="15">
        <f t="shared" si="2"/>
        <v>516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595B-337C-4A42-A213-743D8CA8254E}">
  <sheetPr>
    <pageSetUpPr fitToPage="1"/>
  </sheetPr>
  <dimension ref="A1:Y83"/>
  <sheetViews>
    <sheetView view="pageBreakPreview" topLeftCell="A28" zoomScaleNormal="70" zoomScaleSheetLayoutView="100" workbookViewId="0">
      <selection activeCell="D4" sqref="D4:K4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45438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170</v>
      </c>
      <c r="E5" s="58"/>
      <c r="F5" s="58"/>
      <c r="G5" s="58"/>
      <c r="H5" s="58" t="s">
        <v>313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294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295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309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2452</v>
      </c>
      <c r="Q10" s="4">
        <v>6</v>
      </c>
      <c r="R10" s="4">
        <f>P10+Q10</f>
        <v>2458</v>
      </c>
    </row>
    <row r="11" spans="1:18" ht="24" customHeight="1" x14ac:dyDescent="0.3">
      <c r="A11" s="13"/>
      <c r="B11" s="28" t="s">
        <v>296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1351</v>
      </c>
      <c r="Q11" s="4"/>
      <c r="R11" s="4">
        <f t="shared" ref="R11:R29" si="0">P11+Q11</f>
        <v>1351</v>
      </c>
    </row>
    <row r="12" spans="1:18" ht="24" customHeight="1" x14ac:dyDescent="0.3">
      <c r="A12" s="45"/>
      <c r="B12" s="28" t="s">
        <v>305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310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427</v>
      </c>
      <c r="Q13" s="4"/>
      <c r="R13" s="4">
        <f t="shared" si="0"/>
        <v>427</v>
      </c>
    </row>
    <row r="14" spans="1:18" ht="24" customHeight="1" x14ac:dyDescent="0.3">
      <c r="B14" s="5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297</v>
      </c>
      <c r="B15" s="28" t="s">
        <v>311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/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6658</v>
      </c>
      <c r="Q16" s="4">
        <v>31</v>
      </c>
      <c r="R16" s="4">
        <f t="shared" si="0"/>
        <v>6689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1248</v>
      </c>
      <c r="Q17" s="4"/>
      <c r="R17" s="4">
        <f>P17+Q17</f>
        <v>1248</v>
      </c>
    </row>
    <row r="18" spans="1:25" ht="24" customHeight="1" x14ac:dyDescent="0.3">
      <c r="A18" s="13"/>
      <c r="B18" s="28"/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/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294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314</v>
      </c>
      <c r="G25" s="6"/>
      <c r="K25" s="6"/>
      <c r="M25" s="2" t="s">
        <v>45</v>
      </c>
      <c r="N25" s="48" t="s">
        <v>46</v>
      </c>
      <c r="O25" s="49"/>
      <c r="P25" s="4">
        <v>391</v>
      </c>
      <c r="Q25" s="4">
        <v>7</v>
      </c>
      <c r="R25" s="4">
        <f t="shared" si="0"/>
        <v>398</v>
      </c>
    </row>
    <row r="26" spans="1:25" ht="24" customHeight="1" x14ac:dyDescent="0.3">
      <c r="A26" s="13"/>
      <c r="B26" s="28" t="s">
        <v>303</v>
      </c>
      <c r="C26" s="14"/>
      <c r="G26" s="6"/>
      <c r="K26" s="6"/>
      <c r="M26" s="2" t="s">
        <v>117</v>
      </c>
      <c r="N26" s="48" t="s">
        <v>118</v>
      </c>
      <c r="O26" s="49"/>
      <c r="P26" s="4">
        <v>94</v>
      </c>
      <c r="Q26" s="4"/>
      <c r="R26" s="4">
        <f t="shared" si="0"/>
        <v>94</v>
      </c>
    </row>
    <row r="27" spans="1:25" ht="24" customHeight="1" x14ac:dyDescent="0.3">
      <c r="A27" s="13"/>
      <c r="B27" s="28" t="s">
        <v>296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315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316</v>
      </c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B30" s="5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318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319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297</v>
      </c>
      <c r="B35" s="28" t="s">
        <v>311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 t="s">
        <v>317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/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/>
      <c r="F43" s="15">
        <f t="shared" ref="F43:F49" si="1">D43+E43</f>
        <v>1969.5789999999997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/>
      <c r="F44" s="15">
        <f t="shared" si="1"/>
        <v>5885.7049999999963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/>
      <c r="F45" s="15">
        <f t="shared" si="1"/>
        <v>72.936000000000007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/>
      <c r="F47" s="15">
        <f>D47+E47</f>
        <v>57.393999999999998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15627</v>
      </c>
      <c r="Q47" s="4">
        <f>SUM(Q10:Q46)</f>
        <v>44</v>
      </c>
      <c r="R47" s="4">
        <f>SUM(R10:R46)</f>
        <v>15671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/>
      <c r="F48" s="15">
        <f t="shared" si="1"/>
        <v>124.71899999999998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/>
      <c r="F49" s="15">
        <f t="shared" si="1"/>
        <v>75.559999999999988</v>
      </c>
      <c r="G49" s="2" t="s">
        <v>75</v>
      </c>
      <c r="H49" s="2"/>
      <c r="I49" s="15">
        <v>36</v>
      </c>
      <c r="J49" s="15"/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>D50+E50</f>
        <v>62.811000000000007</v>
      </c>
      <c r="G50" s="2" t="s">
        <v>77</v>
      </c>
      <c r="H50" s="2" t="s">
        <v>145</v>
      </c>
      <c r="I50" s="15">
        <v>25</v>
      </c>
      <c r="J50" s="15">
        <v>1</v>
      </c>
      <c r="K50" s="15">
        <f t="shared" si="2"/>
        <v>26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>D51+E51</f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>D52+E52</f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516</v>
      </c>
      <c r="J54" s="15">
        <v>4</v>
      </c>
      <c r="K54" s="15">
        <f t="shared" si="2"/>
        <v>520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0558-95D1-4886-8DEF-97B9A55EFD4A}">
  <sheetPr>
    <pageSetUpPr fitToPage="1"/>
  </sheetPr>
  <dimension ref="A1:Y83"/>
  <sheetViews>
    <sheetView view="pageBreakPreview" topLeftCell="A3" zoomScaleNormal="70" zoomScaleSheetLayoutView="100" workbookViewId="0">
      <selection activeCell="R29" sqref="R10:R29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45439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320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294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314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303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2458</v>
      </c>
      <c r="Q10" s="4">
        <v>7</v>
      </c>
      <c r="R10" s="4">
        <f>P10+Q10</f>
        <v>2465</v>
      </c>
    </row>
    <row r="11" spans="1:18" ht="24" customHeight="1" x14ac:dyDescent="0.3">
      <c r="A11" s="13"/>
      <c r="B11" s="28" t="s">
        <v>296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1351</v>
      </c>
      <c r="Q11" s="4">
        <v>4</v>
      </c>
      <c r="R11" s="4">
        <f t="shared" ref="R11:R29" si="0">P11+Q11</f>
        <v>1355</v>
      </c>
    </row>
    <row r="12" spans="1:18" ht="24" customHeight="1" x14ac:dyDescent="0.3">
      <c r="A12" s="45"/>
      <c r="B12" s="28" t="s">
        <v>315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316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427</v>
      </c>
      <c r="Q13" s="4">
        <v>2</v>
      </c>
      <c r="R13" s="4">
        <f t="shared" si="0"/>
        <v>429</v>
      </c>
    </row>
    <row r="14" spans="1:18" ht="24" customHeight="1" x14ac:dyDescent="0.3">
      <c r="B14" s="5"/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136</v>
      </c>
      <c r="B15" s="28" t="s">
        <v>324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/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6689</v>
      </c>
      <c r="Q16" s="4">
        <v>38</v>
      </c>
      <c r="R16" s="4">
        <f t="shared" si="0"/>
        <v>6727</v>
      </c>
    </row>
    <row r="17" spans="1:25" ht="24" customHeight="1" x14ac:dyDescent="0.3">
      <c r="A17" s="13" t="s">
        <v>127</v>
      </c>
      <c r="B17" s="28" t="s">
        <v>319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1248</v>
      </c>
      <c r="Q17" s="4">
        <v>4</v>
      </c>
      <c r="R17" s="4">
        <f>P17+Q17</f>
        <v>1252</v>
      </c>
    </row>
    <row r="18" spans="1:25" ht="24" customHeight="1" x14ac:dyDescent="0.3">
      <c r="A18" s="13"/>
      <c r="B18" s="28"/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297</v>
      </c>
      <c r="B19" s="28" t="s">
        <v>311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317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294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314</v>
      </c>
      <c r="G25" s="6"/>
      <c r="K25" s="6"/>
      <c r="M25" s="2" t="s">
        <v>45</v>
      </c>
      <c r="N25" s="48" t="s">
        <v>46</v>
      </c>
      <c r="O25" s="49"/>
      <c r="P25" s="4">
        <v>398</v>
      </c>
      <c r="Q25" s="4">
        <v>20</v>
      </c>
      <c r="R25" s="4">
        <f t="shared" si="0"/>
        <v>418</v>
      </c>
    </row>
    <row r="26" spans="1:25" ht="24" customHeight="1" x14ac:dyDescent="0.3">
      <c r="A26" s="13"/>
      <c r="B26" s="28" t="s">
        <v>303</v>
      </c>
      <c r="C26" s="14"/>
      <c r="G26" s="6"/>
      <c r="K26" s="6"/>
      <c r="M26" s="2" t="s">
        <v>117</v>
      </c>
      <c r="N26" s="48" t="s">
        <v>118</v>
      </c>
      <c r="O26" s="49"/>
      <c r="P26" s="4">
        <v>94</v>
      </c>
      <c r="Q26" s="4"/>
      <c r="R26" s="4">
        <f t="shared" si="0"/>
        <v>94</v>
      </c>
    </row>
    <row r="27" spans="1:25" ht="24" customHeight="1" x14ac:dyDescent="0.3">
      <c r="A27" s="13"/>
      <c r="B27" s="28" t="s">
        <v>296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321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322</v>
      </c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B30" s="5"/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 t="s">
        <v>136</v>
      </c>
      <c r="B31" s="28" t="s">
        <v>323</v>
      </c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/>
      <c r="B32" s="28"/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319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297</v>
      </c>
      <c r="B35" s="28" t="s">
        <v>325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 t="s">
        <v>317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/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1969.5789999999997</v>
      </c>
      <c r="E43" s="15">
        <v>5.6459999999999999</v>
      </c>
      <c r="F43" s="15">
        <f t="shared" ref="F43:F45" si="1">D43+E43</f>
        <v>1975.2249999999997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5885.7049999999963</v>
      </c>
      <c r="E44" s="15">
        <v>7.64</v>
      </c>
      <c r="F44" s="15">
        <f t="shared" si="1"/>
        <v>5893.3449999999966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72.936000000000007</v>
      </c>
      <c r="E45" s="15">
        <v>3.7440000000000002</v>
      </c>
      <c r="F45" s="15">
        <f t="shared" si="1"/>
        <v>76.680000000000007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 t="shared" ref="F46:F52" si="3">D46+E46</f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57.393999999999998</v>
      </c>
      <c r="E47" s="15">
        <v>5.9820000000000002</v>
      </c>
      <c r="F47" s="15">
        <f t="shared" si="3"/>
        <v>63.375999999999998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15671</v>
      </c>
      <c r="Q47" s="4">
        <f>SUM(Q10:Q46)</f>
        <v>75</v>
      </c>
      <c r="R47" s="4">
        <f>SUM(R10:R46)</f>
        <v>15746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124.71899999999998</v>
      </c>
      <c r="E48" s="15">
        <v>6.1139999999999999</v>
      </c>
      <c r="F48" s="15">
        <f t="shared" si="3"/>
        <v>130.83299999999997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75.559999999999988</v>
      </c>
      <c r="E49" s="15">
        <v>6.048</v>
      </c>
      <c r="F49" s="15">
        <f t="shared" si="3"/>
        <v>81.60799999999999</v>
      </c>
      <c r="G49" s="2" t="s">
        <v>75</v>
      </c>
      <c r="H49" s="2"/>
      <c r="I49" s="15">
        <v>36</v>
      </c>
      <c r="J49" s="15"/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 t="shared" si="3"/>
        <v>62.811000000000007</v>
      </c>
      <c r="G50" s="2" t="s">
        <v>77</v>
      </c>
      <c r="H50" s="2" t="s">
        <v>145</v>
      </c>
      <c r="I50" s="15">
        <v>26</v>
      </c>
      <c r="J50" s="15">
        <v>1</v>
      </c>
      <c r="K50" s="15">
        <f t="shared" si="2"/>
        <v>27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 t="shared" si="3"/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 t="shared" si="3"/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520</v>
      </c>
      <c r="J54" s="15">
        <v>4</v>
      </c>
      <c r="K54" s="15">
        <f t="shared" si="2"/>
        <v>524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4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5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6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7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7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7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8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8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9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9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D88C-897D-460B-8CF2-833EDCEA69B5}">
  <sheetPr>
    <pageSetUpPr fitToPage="1"/>
  </sheetPr>
  <dimension ref="A1:Y83"/>
  <sheetViews>
    <sheetView view="pageBreakPreview" topLeftCell="A36" zoomScaleNormal="70" zoomScaleSheetLayoutView="100" workbookViewId="0">
      <selection activeCell="R10" sqref="R10:R29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45440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332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294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213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303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2465</v>
      </c>
      <c r="Q10" s="4">
        <v>7</v>
      </c>
      <c r="R10" s="4">
        <f>P10+Q10</f>
        <v>2472</v>
      </c>
    </row>
    <row r="11" spans="1:18" ht="24" customHeight="1" x14ac:dyDescent="0.3">
      <c r="A11" s="13"/>
      <c r="B11" s="28" t="s">
        <v>330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1355</v>
      </c>
      <c r="Q11" s="4">
        <v>10</v>
      </c>
      <c r="R11" s="4">
        <f t="shared" ref="R11:R29" si="0">P11+Q11</f>
        <v>1365</v>
      </c>
    </row>
    <row r="12" spans="1:18" ht="24" customHeight="1" x14ac:dyDescent="0.3">
      <c r="A12" s="45"/>
      <c r="B12" s="28" t="s">
        <v>296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326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429</v>
      </c>
      <c r="Q13" s="4">
        <v>5</v>
      </c>
      <c r="R13" s="4">
        <f t="shared" si="0"/>
        <v>434</v>
      </c>
    </row>
    <row r="14" spans="1:18" ht="24" customHeight="1" x14ac:dyDescent="0.3">
      <c r="B14" s="28" t="s">
        <v>322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/>
      <c r="B15" s="28" t="s">
        <v>331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/>
      <c r="B16" s="28"/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6727</v>
      </c>
      <c r="Q16" s="4">
        <v>48</v>
      </c>
      <c r="R16" s="4">
        <f t="shared" si="0"/>
        <v>6775</v>
      </c>
    </row>
    <row r="17" spans="1:25" ht="24" customHeight="1" x14ac:dyDescent="0.3">
      <c r="A17" s="13" t="s">
        <v>136</v>
      </c>
      <c r="B17" s="28" t="s">
        <v>323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1252</v>
      </c>
      <c r="Q17" s="4">
        <v>4</v>
      </c>
      <c r="R17" s="4">
        <f>P17+Q17</f>
        <v>1256</v>
      </c>
    </row>
    <row r="18" spans="1:25" ht="24" customHeight="1" x14ac:dyDescent="0.3">
      <c r="A18" s="13" t="s">
        <v>127</v>
      </c>
      <c r="B18" s="28" t="s">
        <v>329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297</v>
      </c>
      <c r="B19" s="28" t="s">
        <v>325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317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/>
      <c r="R20" s="4">
        <f>P20+Q20</f>
        <v>32</v>
      </c>
    </row>
    <row r="21" spans="1:25" ht="24" customHeight="1" x14ac:dyDescent="0.3">
      <c r="A21" s="13" t="s">
        <v>100</v>
      </c>
      <c r="B21" s="28" t="s">
        <v>105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/>
      <c r="B22" s="28"/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294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314</v>
      </c>
      <c r="G25" s="6"/>
      <c r="K25" s="6"/>
      <c r="M25" s="2" t="s">
        <v>45</v>
      </c>
      <c r="N25" s="48" t="s">
        <v>46</v>
      </c>
      <c r="O25" s="49"/>
      <c r="P25" s="4">
        <v>418</v>
      </c>
      <c r="Q25" s="4">
        <v>21</v>
      </c>
      <c r="R25" s="4">
        <f t="shared" si="0"/>
        <v>439</v>
      </c>
    </row>
    <row r="26" spans="1:25" ht="24" customHeight="1" x14ac:dyDescent="0.3">
      <c r="A26" s="13"/>
      <c r="B26" s="28" t="s">
        <v>333</v>
      </c>
      <c r="C26" s="14"/>
      <c r="G26" s="6"/>
      <c r="K26" s="6"/>
      <c r="M26" s="2" t="s">
        <v>117</v>
      </c>
      <c r="N26" s="48" t="s">
        <v>118</v>
      </c>
      <c r="O26" s="49"/>
      <c r="P26" s="4">
        <v>94</v>
      </c>
      <c r="Q26" s="4"/>
      <c r="R26" s="4">
        <f t="shared" si="0"/>
        <v>94</v>
      </c>
    </row>
    <row r="27" spans="1:25" ht="24" customHeight="1" x14ac:dyDescent="0.3">
      <c r="A27" s="13"/>
      <c r="B27" s="28" t="s">
        <v>334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296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 t="s">
        <v>335</v>
      </c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B30" s="28" t="s">
        <v>322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B31" s="5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136</v>
      </c>
      <c r="B32" s="28" t="s">
        <v>336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 t="s">
        <v>127</v>
      </c>
      <c r="B33" s="28" t="s">
        <v>329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135</v>
      </c>
      <c r="B34" s="28" t="s">
        <v>337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297</v>
      </c>
      <c r="B35" s="28" t="s">
        <v>327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 t="s">
        <v>328</v>
      </c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/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1975.2249999999997</v>
      </c>
      <c r="E43" s="15"/>
      <c r="F43" s="15">
        <f t="shared" ref="F43:F52" si="1">D43+E43</f>
        <v>1975.2249999999997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5893.3449999999966</v>
      </c>
      <c r="E44" s="15"/>
      <c r="F44" s="15">
        <f t="shared" si="1"/>
        <v>5893.3449999999966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76.680000000000007</v>
      </c>
      <c r="E45" s="15"/>
      <c r="F45" s="15">
        <f t="shared" si="1"/>
        <v>76.680000000000007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 t="shared" si="1"/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63.375999999999998</v>
      </c>
      <c r="E47" s="15"/>
      <c r="F47" s="15">
        <f t="shared" si="1"/>
        <v>63.375999999999998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15746</v>
      </c>
      <c r="Q47" s="4">
        <f>SUM(Q10:Q46)</f>
        <v>95</v>
      </c>
      <c r="R47" s="4">
        <f>SUM(R10:R46)</f>
        <v>15841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130.83299999999997</v>
      </c>
      <c r="E48" s="15"/>
      <c r="F48" s="15">
        <f t="shared" si="1"/>
        <v>130.83299999999997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81.60799999999999</v>
      </c>
      <c r="E49" s="15"/>
      <c r="F49" s="15">
        <f t="shared" si="1"/>
        <v>81.60799999999999</v>
      </c>
      <c r="G49" s="2" t="s">
        <v>75</v>
      </c>
      <c r="H49" s="2"/>
      <c r="I49" s="15">
        <v>36</v>
      </c>
      <c r="J49" s="15"/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 t="shared" si="1"/>
        <v>62.811000000000007</v>
      </c>
      <c r="G50" s="2" t="s">
        <v>77</v>
      </c>
      <c r="H50" s="2" t="s">
        <v>145</v>
      </c>
      <c r="I50" s="15">
        <v>27</v>
      </c>
      <c r="J50" s="15">
        <v>1</v>
      </c>
      <c r="K50" s="15">
        <f t="shared" si="2"/>
        <v>28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 t="shared" si="1"/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 t="shared" si="1"/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524</v>
      </c>
      <c r="J54" s="15">
        <v>4</v>
      </c>
      <c r="K54" s="15">
        <f t="shared" si="2"/>
        <v>528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9D78-D107-49CE-8467-42A8FE0E68A3}">
  <sheetPr>
    <pageSetUpPr fitToPage="1"/>
  </sheetPr>
  <dimension ref="A1:Y83"/>
  <sheetViews>
    <sheetView view="pageBreakPreview" topLeftCell="A36" zoomScaleNormal="70" zoomScaleSheetLayoutView="100" workbookViewId="0">
      <selection activeCell="R10" sqref="R10:R29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45441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242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294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314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333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2472</v>
      </c>
      <c r="Q10" s="4">
        <v>7</v>
      </c>
      <c r="R10" s="4">
        <f>P10+Q10</f>
        <v>2479</v>
      </c>
    </row>
    <row r="11" spans="1:18" ht="24" customHeight="1" x14ac:dyDescent="0.3">
      <c r="A11" s="13"/>
      <c r="B11" s="28" t="s">
        <v>334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1365</v>
      </c>
      <c r="Q11" s="4">
        <v>29</v>
      </c>
      <c r="R11" s="4">
        <f t="shared" ref="R11:R29" si="0">P11+Q11</f>
        <v>1394</v>
      </c>
    </row>
    <row r="12" spans="1:18" ht="24" customHeight="1" x14ac:dyDescent="0.3">
      <c r="A12" s="45"/>
      <c r="B12" s="28" t="s">
        <v>330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 t="s">
        <v>296</v>
      </c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434</v>
      </c>
      <c r="Q13" s="4">
        <v>4</v>
      </c>
      <c r="R13" s="4">
        <f t="shared" si="0"/>
        <v>438</v>
      </c>
    </row>
    <row r="14" spans="1:18" ht="24" customHeight="1" x14ac:dyDescent="0.3">
      <c r="B14" s="28" t="s">
        <v>343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A15" s="13" t="s">
        <v>158</v>
      </c>
      <c r="B15" s="28" t="s">
        <v>344</v>
      </c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127</v>
      </c>
      <c r="B16" s="28" t="s">
        <v>329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6775</v>
      </c>
      <c r="Q16" s="4">
        <v>41</v>
      </c>
      <c r="R16" s="4">
        <f t="shared" si="0"/>
        <v>6816</v>
      </c>
    </row>
    <row r="17" spans="1:25" ht="24" customHeight="1" x14ac:dyDescent="0.3">
      <c r="A17" s="13"/>
      <c r="B17" s="28" t="s">
        <v>338</v>
      </c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1256</v>
      </c>
      <c r="Q17" s="4"/>
      <c r="R17" s="4">
        <f>P17+Q17</f>
        <v>1256</v>
      </c>
    </row>
    <row r="18" spans="1:25" ht="24" customHeight="1" x14ac:dyDescent="0.3">
      <c r="A18" s="13" t="s">
        <v>135</v>
      </c>
      <c r="B18" s="28" t="s">
        <v>337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 t="s">
        <v>297</v>
      </c>
      <c r="B19" s="28" t="s">
        <v>325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328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32</v>
      </c>
      <c r="Q20" s="4">
        <v>2</v>
      </c>
      <c r="R20" s="4">
        <f>P20+Q20</f>
        <v>34</v>
      </c>
    </row>
    <row r="21" spans="1:25" ht="24" customHeight="1" x14ac:dyDescent="0.3">
      <c r="A21" s="13" t="s">
        <v>179</v>
      </c>
      <c r="B21" s="28" t="s">
        <v>345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176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339</v>
      </c>
      <c r="G25" s="6"/>
      <c r="K25" s="6"/>
      <c r="M25" s="2" t="s">
        <v>45</v>
      </c>
      <c r="N25" s="48" t="s">
        <v>46</v>
      </c>
      <c r="O25" s="49"/>
      <c r="P25" s="4">
        <v>439</v>
      </c>
      <c r="Q25" s="4">
        <v>22</v>
      </c>
      <c r="R25" s="4">
        <f t="shared" si="0"/>
        <v>461</v>
      </c>
    </row>
    <row r="26" spans="1:25" ht="24" customHeight="1" x14ac:dyDescent="0.3">
      <c r="A26" s="13"/>
      <c r="B26" s="28" t="s">
        <v>340</v>
      </c>
      <c r="C26" s="14"/>
      <c r="G26" s="6"/>
      <c r="K26" s="6"/>
      <c r="M26" s="2" t="s">
        <v>117</v>
      </c>
      <c r="N26" s="48" t="s">
        <v>118</v>
      </c>
      <c r="O26" s="49"/>
      <c r="P26" s="4">
        <v>94</v>
      </c>
      <c r="Q26" s="4">
        <v>4</v>
      </c>
      <c r="R26" s="4">
        <f t="shared" si="0"/>
        <v>98</v>
      </c>
    </row>
    <row r="27" spans="1:25" ht="24" customHeight="1" x14ac:dyDescent="0.3">
      <c r="A27" s="13"/>
      <c r="B27" s="28" t="s">
        <v>125</v>
      </c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45"/>
      <c r="B28" s="28" t="s">
        <v>341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A29" s="45"/>
      <c r="B29" s="28"/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A30" s="13" t="s">
        <v>158</v>
      </c>
      <c r="B30" s="28" t="s">
        <v>342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B31" s="5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127</v>
      </c>
      <c r="B32" s="28" t="s">
        <v>338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297</v>
      </c>
      <c r="B34" s="28" t="s">
        <v>325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 t="s">
        <v>328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179</v>
      </c>
      <c r="B37" s="28" t="s">
        <v>346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 t="s">
        <v>100</v>
      </c>
      <c r="B38" s="28" t="s">
        <v>105</v>
      </c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/>
      <c r="F42" s="15">
        <f>D42+E42</f>
        <v>6506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1975.2249999999997</v>
      </c>
      <c r="E43" s="15"/>
      <c r="F43" s="15">
        <f t="shared" ref="F43:F52" si="1">D43+E43</f>
        <v>1975.2249999999997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5893.3449999999966</v>
      </c>
      <c r="E44" s="15"/>
      <c r="F44" s="15">
        <f t="shared" si="1"/>
        <v>5893.3449999999966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76.680000000000007</v>
      </c>
      <c r="E45" s="15"/>
      <c r="F45" s="15">
        <f t="shared" si="1"/>
        <v>76.680000000000007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 t="shared" si="1"/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63.375999999999998</v>
      </c>
      <c r="E47" s="15"/>
      <c r="F47" s="15">
        <f t="shared" si="1"/>
        <v>63.375999999999998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15841</v>
      </c>
      <c r="Q47" s="4">
        <f>SUM(Q10:Q46)</f>
        <v>109</v>
      </c>
      <c r="R47" s="4">
        <f>SUM(R10:R46)</f>
        <v>15950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130.83299999999997</v>
      </c>
      <c r="E48" s="15"/>
      <c r="F48" s="15">
        <f t="shared" si="1"/>
        <v>130.83299999999997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81.60799999999999</v>
      </c>
      <c r="E49" s="15"/>
      <c r="F49" s="15">
        <f t="shared" si="1"/>
        <v>81.60799999999999</v>
      </c>
      <c r="G49" s="2" t="s">
        <v>75</v>
      </c>
      <c r="H49" s="2"/>
      <c r="I49" s="15">
        <v>36</v>
      </c>
      <c r="J49" s="15"/>
      <c r="K49" s="15">
        <f t="shared" si="2"/>
        <v>36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 t="shared" si="1"/>
        <v>62.811000000000007</v>
      </c>
      <c r="G50" s="2" t="s">
        <v>77</v>
      </c>
      <c r="H50" s="2" t="s">
        <v>145</v>
      </c>
      <c r="I50" s="15">
        <v>28</v>
      </c>
      <c r="J50" s="15">
        <v>1</v>
      </c>
      <c r="K50" s="15">
        <f t="shared" si="2"/>
        <v>29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 t="shared" si="1"/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 t="shared" si="1"/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528</v>
      </c>
      <c r="J54" s="15">
        <v>4</v>
      </c>
      <c r="K54" s="15">
        <f t="shared" si="2"/>
        <v>532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36:O36"/>
    <mergeCell ref="N37:O37"/>
    <mergeCell ref="N38:O38"/>
    <mergeCell ref="A39:F39"/>
    <mergeCell ref="G39:K39"/>
    <mergeCell ref="N39:O39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A429-A7A2-4D88-A95F-421CBF172C80}">
  <sheetPr>
    <pageSetUpPr fitToPage="1"/>
  </sheetPr>
  <dimension ref="A1:Y83"/>
  <sheetViews>
    <sheetView view="pageBreakPreview" topLeftCell="A30" zoomScaleNormal="70" zoomScaleSheetLayoutView="100" workbookViewId="0">
      <selection activeCell="N36" sqref="N36:O36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45442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347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176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339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340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2479</v>
      </c>
      <c r="Q10" s="4">
        <v>7</v>
      </c>
      <c r="R10" s="4">
        <f>P10+Q10</f>
        <v>2486</v>
      </c>
    </row>
    <row r="11" spans="1:18" ht="24" customHeight="1" x14ac:dyDescent="0.3">
      <c r="A11" s="13"/>
      <c r="B11" s="28" t="s">
        <v>125</v>
      </c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1394</v>
      </c>
      <c r="Q11" s="4">
        <v>18</v>
      </c>
      <c r="R11" s="4">
        <f t="shared" ref="R11:R29" si="0">P11+Q11</f>
        <v>1412</v>
      </c>
    </row>
    <row r="12" spans="1:18" ht="24" customHeight="1" x14ac:dyDescent="0.3">
      <c r="A12" s="45"/>
      <c r="B12" s="28" t="s">
        <v>341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A13" s="45"/>
      <c r="B13" s="28"/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438</v>
      </c>
      <c r="Q13" s="4">
        <v>4</v>
      </c>
      <c r="R13" s="4">
        <f t="shared" si="0"/>
        <v>442</v>
      </c>
    </row>
    <row r="14" spans="1:18" ht="24" customHeight="1" x14ac:dyDescent="0.3">
      <c r="A14" s="13" t="s">
        <v>158</v>
      </c>
      <c r="B14" s="28" t="s">
        <v>342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B15" s="5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127</v>
      </c>
      <c r="B16" s="28" t="s">
        <v>338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6816</v>
      </c>
      <c r="Q16" s="4">
        <v>37</v>
      </c>
      <c r="R16" s="4">
        <f t="shared" si="0"/>
        <v>6853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1256</v>
      </c>
      <c r="Q17" s="4"/>
      <c r="R17" s="4">
        <f>P17+Q17</f>
        <v>1256</v>
      </c>
    </row>
    <row r="18" spans="1:25" ht="24" customHeight="1" x14ac:dyDescent="0.3">
      <c r="A18" s="13" t="s">
        <v>297</v>
      </c>
      <c r="B18" s="28" t="s">
        <v>348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 t="s">
        <v>328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/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34</v>
      </c>
      <c r="Q20" s="4"/>
      <c r="R20" s="4">
        <f>P20+Q20</f>
        <v>34</v>
      </c>
    </row>
    <row r="21" spans="1:25" ht="24" customHeight="1" x14ac:dyDescent="0.3">
      <c r="A21" s="13" t="s">
        <v>179</v>
      </c>
      <c r="B21" s="28" t="s">
        <v>346</v>
      </c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105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341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349</v>
      </c>
      <c r="G25" s="6"/>
      <c r="K25" s="6"/>
      <c r="M25" s="2" t="s">
        <v>45</v>
      </c>
      <c r="N25" s="48" t="s">
        <v>46</v>
      </c>
      <c r="O25" s="49"/>
      <c r="P25" s="4">
        <v>461</v>
      </c>
      <c r="Q25" s="4">
        <v>23</v>
      </c>
      <c r="R25" s="4">
        <f t="shared" si="0"/>
        <v>484</v>
      </c>
    </row>
    <row r="26" spans="1:25" ht="24" customHeight="1" x14ac:dyDescent="0.3">
      <c r="A26" s="13"/>
      <c r="B26" s="28" t="s">
        <v>212</v>
      </c>
      <c r="C26" s="14"/>
      <c r="G26" s="6"/>
      <c r="K26" s="6"/>
      <c r="M26" s="2" t="s">
        <v>117</v>
      </c>
      <c r="N26" s="48" t="s">
        <v>118</v>
      </c>
      <c r="O26" s="49"/>
      <c r="P26" s="4">
        <v>98</v>
      </c>
      <c r="Q26" s="4">
        <v>5</v>
      </c>
      <c r="R26" s="4">
        <f t="shared" si="0"/>
        <v>103</v>
      </c>
    </row>
    <row r="27" spans="1:25" ht="24" customHeight="1" x14ac:dyDescent="0.3">
      <c r="A27" s="13"/>
      <c r="B27" s="28"/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 t="s">
        <v>158</v>
      </c>
      <c r="B28" s="28" t="s">
        <v>342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B29" s="5"/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A30" s="13" t="s">
        <v>127</v>
      </c>
      <c r="B30" s="28" t="s">
        <v>338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B31" s="5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135</v>
      </c>
      <c r="B32" s="28" t="s">
        <v>350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/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 t="s">
        <v>297</v>
      </c>
      <c r="B34" s="28" t="s">
        <v>351</v>
      </c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/>
      <c r="B35" s="28" t="s">
        <v>328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 t="s">
        <v>100</v>
      </c>
      <c r="B37" s="28" t="s">
        <v>105</v>
      </c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6506</v>
      </c>
      <c r="E42" s="15">
        <v>246</v>
      </c>
      <c r="F42" s="15">
        <f>D42+E42</f>
        <v>6752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1975.2249999999997</v>
      </c>
      <c r="E43" s="15"/>
      <c r="F43" s="15">
        <f t="shared" ref="F43:F52" si="1">D43+E43</f>
        <v>1975.2249999999997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5893.3449999999966</v>
      </c>
      <c r="E44" s="15"/>
      <c r="F44" s="15">
        <f t="shared" si="1"/>
        <v>5893.3449999999966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76.680000000000007</v>
      </c>
      <c r="E45" s="15"/>
      <c r="F45" s="15">
        <f t="shared" si="1"/>
        <v>76.680000000000007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 t="shared" si="1"/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63.375999999999998</v>
      </c>
      <c r="E47" s="15"/>
      <c r="F47" s="15">
        <f t="shared" si="1"/>
        <v>63.375999999999998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15950</v>
      </c>
      <c r="Q47" s="4">
        <f>SUM(Q10:Q46)</f>
        <v>94</v>
      </c>
      <c r="R47" s="4">
        <f>SUM(R10:R46)</f>
        <v>16044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130.83299999999997</v>
      </c>
      <c r="E48" s="15"/>
      <c r="F48" s="15">
        <f t="shared" si="1"/>
        <v>130.83299999999997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81.60799999999999</v>
      </c>
      <c r="E49" s="15"/>
      <c r="F49" s="15">
        <f t="shared" si="1"/>
        <v>81.60799999999999</v>
      </c>
      <c r="G49" s="2" t="s">
        <v>75</v>
      </c>
      <c r="H49" s="2"/>
      <c r="I49" s="15">
        <v>36</v>
      </c>
      <c r="J49" s="15">
        <v>1</v>
      </c>
      <c r="K49" s="15">
        <f t="shared" si="2"/>
        <v>37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 t="shared" si="1"/>
        <v>62.811000000000007</v>
      </c>
      <c r="G50" s="2" t="s">
        <v>77</v>
      </c>
      <c r="H50" s="2" t="s">
        <v>145</v>
      </c>
      <c r="I50" s="15">
        <v>29</v>
      </c>
      <c r="J50" s="15">
        <v>1</v>
      </c>
      <c r="K50" s="15">
        <f t="shared" si="2"/>
        <v>30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 t="shared" si="1"/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 t="shared" si="1"/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532</v>
      </c>
      <c r="J54" s="15">
        <v>4</v>
      </c>
      <c r="K54" s="15">
        <f t="shared" si="2"/>
        <v>536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  <mergeCell ref="N15:O15"/>
    <mergeCell ref="A5:C5"/>
    <mergeCell ref="D5:G5"/>
    <mergeCell ref="H5:K5"/>
    <mergeCell ref="A7:K7"/>
    <mergeCell ref="M7:R7"/>
    <mergeCell ref="M8:O9"/>
    <mergeCell ref="P8:R8"/>
    <mergeCell ref="N10:O10"/>
    <mergeCell ref="N11:O11"/>
    <mergeCell ref="N12:O12"/>
    <mergeCell ref="N13:O13"/>
    <mergeCell ref="N14:O14"/>
    <mergeCell ref="N35:O35"/>
    <mergeCell ref="A23:K23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6:O36"/>
    <mergeCell ref="N37:O37"/>
    <mergeCell ref="N38:O38"/>
    <mergeCell ref="A39:F39"/>
    <mergeCell ref="G39:K39"/>
    <mergeCell ref="N39:O39"/>
    <mergeCell ref="N44:O44"/>
    <mergeCell ref="A40:A41"/>
    <mergeCell ref="B40:B41"/>
    <mergeCell ref="C40:C41"/>
    <mergeCell ref="D40:F40"/>
    <mergeCell ref="G40:G41"/>
    <mergeCell ref="H40:H41"/>
    <mergeCell ref="I40:K40"/>
    <mergeCell ref="N40:O40"/>
    <mergeCell ref="N41:O41"/>
    <mergeCell ref="N42:O42"/>
    <mergeCell ref="N43:O43"/>
    <mergeCell ref="N45:O45"/>
    <mergeCell ref="N46:O46"/>
    <mergeCell ref="N47:O47"/>
    <mergeCell ref="M48:R48"/>
    <mergeCell ref="M50:R50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0E5-3BCA-4399-9841-93965D6320E8}">
  <sheetPr>
    <pageSetUpPr fitToPage="1"/>
  </sheetPr>
  <dimension ref="A1:Y83"/>
  <sheetViews>
    <sheetView tabSelected="1" view="pageBreakPreview" zoomScaleNormal="70" zoomScaleSheetLayoutView="100" workbookViewId="0">
      <selection activeCell="Q27" sqref="Q27"/>
    </sheetView>
  </sheetViews>
  <sheetFormatPr defaultRowHeight="16.5" x14ac:dyDescent="0.3"/>
  <cols>
    <col min="1" max="1" width="12.625" customWidth="1"/>
    <col min="2" max="2" width="9.625" customWidth="1"/>
    <col min="3" max="3" width="5.125" customWidth="1"/>
    <col min="4" max="11" width="9.625" customWidth="1"/>
    <col min="12" max="12" width="0.75" customWidth="1"/>
    <col min="13" max="13" width="9.625" customWidth="1"/>
    <col min="14" max="14" width="4.625" customWidth="1"/>
    <col min="15" max="18" width="9.625" customWidth="1"/>
  </cols>
  <sheetData>
    <row r="1" spans="1:18" ht="31.9" customHeight="1" x14ac:dyDescent="0.3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8" customHeight="1" x14ac:dyDescent="0.3"/>
    <row r="3" spans="1:18" ht="40.15" customHeight="1" x14ac:dyDescent="0.3">
      <c r="A3" s="57" t="s">
        <v>5</v>
      </c>
      <c r="B3" s="57"/>
      <c r="C3" s="57"/>
      <c r="D3" s="58" t="s">
        <v>122</v>
      </c>
      <c r="E3" s="58"/>
      <c r="F3" s="58"/>
      <c r="G3" s="58"/>
      <c r="H3" s="58"/>
      <c r="I3" s="58"/>
      <c r="J3" s="58"/>
      <c r="K3" s="58"/>
      <c r="N3" s="60" t="s">
        <v>6</v>
      </c>
      <c r="O3" s="57" t="s">
        <v>7</v>
      </c>
      <c r="P3" s="57"/>
      <c r="Q3" s="57" t="s">
        <v>8</v>
      </c>
      <c r="R3" s="57"/>
    </row>
    <row r="4" spans="1:18" ht="40.15" customHeight="1" x14ac:dyDescent="0.3">
      <c r="A4" s="57" t="s">
        <v>9</v>
      </c>
      <c r="B4" s="57"/>
      <c r="C4" s="57"/>
      <c r="D4" s="61">
        <v>45443</v>
      </c>
      <c r="E4" s="61"/>
      <c r="F4" s="61"/>
      <c r="G4" s="61"/>
      <c r="H4" s="61"/>
      <c r="I4" s="61"/>
      <c r="J4" s="61"/>
      <c r="K4" s="61"/>
      <c r="N4" s="60"/>
      <c r="O4" s="58"/>
      <c r="P4" s="58"/>
      <c r="Q4" s="58"/>
      <c r="R4" s="58"/>
    </row>
    <row r="5" spans="1:18" ht="40.15" customHeight="1" x14ac:dyDescent="0.3">
      <c r="A5" s="57" t="s">
        <v>10</v>
      </c>
      <c r="B5" s="57"/>
      <c r="C5" s="57"/>
      <c r="D5" s="58" t="s">
        <v>119</v>
      </c>
      <c r="E5" s="58"/>
      <c r="F5" s="58"/>
      <c r="G5" s="58"/>
      <c r="H5" s="58" t="s">
        <v>347</v>
      </c>
      <c r="I5" s="58"/>
      <c r="J5" s="58"/>
      <c r="K5" s="58"/>
      <c r="N5" s="60"/>
      <c r="O5" s="58"/>
      <c r="P5" s="58"/>
      <c r="Q5" s="58"/>
      <c r="R5" s="58"/>
    </row>
    <row r="6" spans="1:18" ht="6" customHeight="1" x14ac:dyDescent="0.3"/>
    <row r="7" spans="1:18" ht="24" customHeight="1" x14ac:dyDescent="0.3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1"/>
      <c r="K7" s="52"/>
      <c r="M7" s="57" t="s">
        <v>12</v>
      </c>
      <c r="N7" s="57"/>
      <c r="O7" s="57"/>
      <c r="P7" s="57"/>
      <c r="Q7" s="57"/>
      <c r="R7" s="57"/>
    </row>
    <row r="8" spans="1:18" ht="24" customHeight="1" x14ac:dyDescent="0.3">
      <c r="A8" s="13" t="s">
        <v>293</v>
      </c>
      <c r="B8" s="28" t="s">
        <v>341</v>
      </c>
      <c r="G8" s="8"/>
      <c r="H8" s="35"/>
      <c r="I8" s="36"/>
      <c r="J8" s="36"/>
      <c r="K8" s="37"/>
      <c r="M8" s="56" t="s">
        <v>13</v>
      </c>
      <c r="N8" s="56"/>
      <c r="O8" s="56"/>
      <c r="P8" s="56" t="s">
        <v>14</v>
      </c>
      <c r="Q8" s="56"/>
      <c r="R8" s="56"/>
    </row>
    <row r="9" spans="1:18" ht="24" customHeight="1" x14ac:dyDescent="0.3">
      <c r="A9" s="13"/>
      <c r="B9" s="28" t="s">
        <v>349</v>
      </c>
      <c r="G9" s="6"/>
      <c r="H9" s="14"/>
      <c r="I9" s="39"/>
      <c r="J9" s="39"/>
      <c r="K9" s="40"/>
      <c r="M9" s="56"/>
      <c r="N9" s="56"/>
      <c r="O9" s="56"/>
      <c r="P9" s="10" t="s">
        <v>15</v>
      </c>
      <c r="Q9" s="10" t="s">
        <v>16</v>
      </c>
      <c r="R9" s="10" t="s">
        <v>17</v>
      </c>
    </row>
    <row r="10" spans="1:18" ht="24" customHeight="1" x14ac:dyDescent="0.3">
      <c r="A10" s="13"/>
      <c r="B10" s="28" t="s">
        <v>212</v>
      </c>
      <c r="C10" s="14"/>
      <c r="G10" s="6"/>
      <c r="H10" s="14"/>
      <c r="J10" s="16"/>
      <c r="K10" s="6"/>
      <c r="M10" s="2" t="s">
        <v>18</v>
      </c>
      <c r="N10" s="48" t="s">
        <v>19</v>
      </c>
      <c r="O10" s="49"/>
      <c r="P10" s="4">
        <v>2486</v>
      </c>
      <c r="Q10" s="4">
        <v>7</v>
      </c>
      <c r="R10" s="4">
        <f>P10+Q10</f>
        <v>2493</v>
      </c>
    </row>
    <row r="11" spans="1:18" ht="24" customHeight="1" x14ac:dyDescent="0.3">
      <c r="A11" s="13"/>
      <c r="B11" s="28"/>
      <c r="C11" s="14"/>
      <c r="G11" s="6"/>
      <c r="H11" s="14"/>
      <c r="I11" s="14"/>
      <c r="K11" s="6"/>
      <c r="M11" s="2" t="s">
        <v>20</v>
      </c>
      <c r="N11" s="48" t="s">
        <v>19</v>
      </c>
      <c r="O11" s="49"/>
      <c r="P11" s="4">
        <v>1412</v>
      </c>
      <c r="Q11" s="4">
        <v>24</v>
      </c>
      <c r="R11" s="4">
        <f t="shared" ref="R11:R29" si="0">P11+Q11</f>
        <v>1436</v>
      </c>
    </row>
    <row r="12" spans="1:18" ht="24" customHeight="1" x14ac:dyDescent="0.3">
      <c r="A12" s="13" t="s">
        <v>158</v>
      </c>
      <c r="B12" s="28" t="s">
        <v>352</v>
      </c>
      <c r="G12" s="6"/>
      <c r="H12" s="14"/>
      <c r="I12" s="27"/>
      <c r="J12" s="16"/>
      <c r="K12" s="6"/>
      <c r="M12" s="2" t="s">
        <v>21</v>
      </c>
      <c r="N12" s="48" t="s">
        <v>22</v>
      </c>
      <c r="O12" s="49"/>
      <c r="P12" s="4">
        <v>2693</v>
      </c>
      <c r="Q12" s="4"/>
      <c r="R12" s="4">
        <f t="shared" si="0"/>
        <v>2693</v>
      </c>
    </row>
    <row r="13" spans="1:18" ht="24" customHeight="1" x14ac:dyDescent="0.3">
      <c r="B13" s="5"/>
      <c r="G13" s="6"/>
      <c r="H13" s="14"/>
      <c r="J13" s="16"/>
      <c r="K13" s="6"/>
      <c r="M13" s="2" t="s">
        <v>23</v>
      </c>
      <c r="N13" s="48" t="s">
        <v>24</v>
      </c>
      <c r="O13" s="49"/>
      <c r="P13" s="4">
        <v>442</v>
      </c>
      <c r="Q13" s="4">
        <v>2</v>
      </c>
      <c r="R13" s="4">
        <f t="shared" si="0"/>
        <v>444</v>
      </c>
    </row>
    <row r="14" spans="1:18" ht="24" customHeight="1" x14ac:dyDescent="0.3">
      <c r="A14" s="13" t="s">
        <v>127</v>
      </c>
      <c r="B14" s="28" t="s">
        <v>338</v>
      </c>
      <c r="E14" s="32"/>
      <c r="G14" s="6"/>
      <c r="H14" s="14"/>
      <c r="I14" s="25"/>
      <c r="J14" s="17"/>
      <c r="K14" s="6"/>
      <c r="M14" s="2" t="s">
        <v>25</v>
      </c>
      <c r="N14" s="48" t="s">
        <v>26</v>
      </c>
      <c r="O14" s="49"/>
      <c r="P14" s="4">
        <v>36</v>
      </c>
      <c r="Q14" s="4"/>
      <c r="R14" s="4">
        <f t="shared" si="0"/>
        <v>36</v>
      </c>
    </row>
    <row r="15" spans="1:18" ht="24" customHeight="1" x14ac:dyDescent="0.3">
      <c r="B15" s="5"/>
      <c r="G15" s="6"/>
      <c r="H15" s="14"/>
      <c r="I15" s="18"/>
      <c r="J15" s="25"/>
      <c r="K15" s="6"/>
      <c r="M15" s="2" t="s">
        <v>27</v>
      </c>
      <c r="N15" s="48" t="s">
        <v>28</v>
      </c>
      <c r="O15" s="49"/>
      <c r="P15" s="4">
        <v>6</v>
      </c>
      <c r="Q15" s="4"/>
      <c r="R15" s="4">
        <f t="shared" si="0"/>
        <v>6</v>
      </c>
    </row>
    <row r="16" spans="1:18" ht="24" customHeight="1" x14ac:dyDescent="0.3">
      <c r="A16" s="13" t="s">
        <v>135</v>
      </c>
      <c r="B16" s="28" t="s">
        <v>350</v>
      </c>
      <c r="G16" s="6"/>
      <c r="H16" s="14"/>
      <c r="I16" s="25"/>
      <c r="K16" s="6"/>
      <c r="M16" s="2" t="s">
        <v>27</v>
      </c>
      <c r="N16" s="11" t="s">
        <v>29</v>
      </c>
      <c r="O16" s="12"/>
      <c r="P16" s="4">
        <v>6853</v>
      </c>
      <c r="Q16" s="4">
        <v>57</v>
      </c>
      <c r="R16" s="4">
        <f t="shared" si="0"/>
        <v>6910</v>
      </c>
    </row>
    <row r="17" spans="1:25" ht="24" customHeight="1" x14ac:dyDescent="0.3">
      <c r="A17" s="13"/>
      <c r="B17" s="28"/>
      <c r="G17" s="6"/>
      <c r="H17" s="14"/>
      <c r="I17" s="25"/>
      <c r="K17" s="6"/>
      <c r="M17" s="2" t="s">
        <v>30</v>
      </c>
      <c r="N17" s="11" t="s">
        <v>31</v>
      </c>
      <c r="O17" s="12"/>
      <c r="P17" s="4">
        <v>1256</v>
      </c>
      <c r="Q17" s="4">
        <v>3</v>
      </c>
      <c r="R17" s="4">
        <f>P17+Q17</f>
        <v>1259</v>
      </c>
    </row>
    <row r="18" spans="1:25" ht="24" customHeight="1" x14ac:dyDescent="0.3">
      <c r="A18" s="13" t="s">
        <v>297</v>
      </c>
      <c r="B18" s="28" t="s">
        <v>353</v>
      </c>
      <c r="G18" s="6"/>
      <c r="H18" s="14"/>
      <c r="K18" s="6"/>
      <c r="M18" s="2" t="s">
        <v>32</v>
      </c>
      <c r="N18" s="11" t="s">
        <v>33</v>
      </c>
      <c r="O18" s="12"/>
      <c r="P18" s="4">
        <v>10</v>
      </c>
      <c r="Q18" s="4"/>
      <c r="R18" s="4">
        <f>P18+Q18</f>
        <v>10</v>
      </c>
    </row>
    <row r="19" spans="1:25" ht="24" customHeight="1" x14ac:dyDescent="0.3">
      <c r="A19" s="13"/>
      <c r="B19" s="28" t="s">
        <v>354</v>
      </c>
      <c r="G19" s="6"/>
      <c r="H19" s="33"/>
      <c r="I19" s="14"/>
      <c r="K19" s="6"/>
      <c r="M19" s="2" t="s">
        <v>34</v>
      </c>
      <c r="N19" s="11" t="s">
        <v>35</v>
      </c>
      <c r="O19" s="12"/>
      <c r="P19" s="4">
        <v>46</v>
      </c>
      <c r="Q19" s="4"/>
      <c r="R19" s="4">
        <f>P19+Q19</f>
        <v>46</v>
      </c>
      <c r="U19" t="s">
        <v>97</v>
      </c>
      <c r="Y19" t="s">
        <v>107</v>
      </c>
    </row>
    <row r="20" spans="1:25" ht="24" customHeight="1" x14ac:dyDescent="0.3">
      <c r="A20" s="13"/>
      <c r="B20" s="28" t="s">
        <v>328</v>
      </c>
      <c r="G20" s="6"/>
      <c r="H20" s="14"/>
      <c r="I20" s="27"/>
      <c r="J20" s="16"/>
      <c r="K20" s="6"/>
      <c r="M20" s="2" t="s">
        <v>36</v>
      </c>
      <c r="N20" s="11" t="s">
        <v>37</v>
      </c>
      <c r="O20" s="12"/>
      <c r="P20" s="4">
        <v>34</v>
      </c>
      <c r="Q20" s="4">
        <v>5</v>
      </c>
      <c r="R20" s="4">
        <f>P20+Q20</f>
        <v>39</v>
      </c>
    </row>
    <row r="21" spans="1:25" ht="24" customHeight="1" x14ac:dyDescent="0.3">
      <c r="A21" s="13"/>
      <c r="B21" s="28"/>
      <c r="G21" s="6"/>
      <c r="H21" s="14"/>
      <c r="J21" s="16"/>
      <c r="K21" s="6"/>
      <c r="M21" s="2" t="s">
        <v>38</v>
      </c>
      <c r="N21" s="11" t="s">
        <v>96</v>
      </c>
      <c r="O21" s="12"/>
      <c r="P21" s="4">
        <v>8</v>
      </c>
      <c r="Q21" s="4"/>
      <c r="R21" s="4">
        <f t="shared" si="0"/>
        <v>8</v>
      </c>
    </row>
    <row r="22" spans="1:25" ht="24" customHeight="1" x14ac:dyDescent="0.3">
      <c r="A22" s="13" t="s">
        <v>100</v>
      </c>
      <c r="B22" s="28" t="s">
        <v>274</v>
      </c>
      <c r="C22" s="1"/>
      <c r="D22" s="1"/>
      <c r="E22" s="1"/>
      <c r="F22" s="1"/>
      <c r="G22" s="7"/>
      <c r="H22" s="1"/>
      <c r="I22" s="1"/>
      <c r="J22" s="1"/>
      <c r="K22" s="7"/>
      <c r="M22" s="2" t="s">
        <v>39</v>
      </c>
      <c r="N22" s="11" t="s">
        <v>40</v>
      </c>
      <c r="O22" s="12"/>
      <c r="P22" s="4">
        <v>100</v>
      </c>
      <c r="Q22" s="4"/>
      <c r="R22" s="4">
        <f t="shared" si="0"/>
        <v>100</v>
      </c>
    </row>
    <row r="23" spans="1:25" ht="24" customHeight="1" x14ac:dyDescent="0.3">
      <c r="A23" s="50" t="s">
        <v>0</v>
      </c>
      <c r="B23" s="51"/>
      <c r="C23" s="51"/>
      <c r="D23" s="51"/>
      <c r="E23" s="51"/>
      <c r="F23" s="51"/>
      <c r="G23" s="51"/>
      <c r="H23" s="51"/>
      <c r="I23" s="51"/>
      <c r="J23" s="51"/>
      <c r="K23" s="52"/>
      <c r="M23" s="2" t="s">
        <v>41</v>
      </c>
      <c r="N23" s="11" t="s">
        <v>42</v>
      </c>
      <c r="O23" s="12"/>
      <c r="P23" s="4">
        <v>2</v>
      </c>
      <c r="Q23" s="4"/>
      <c r="R23" s="4">
        <f t="shared" si="0"/>
        <v>2</v>
      </c>
    </row>
    <row r="24" spans="1:25" ht="24" customHeight="1" x14ac:dyDescent="0.3">
      <c r="A24" s="13" t="s">
        <v>293</v>
      </c>
      <c r="B24" s="28" t="s">
        <v>349</v>
      </c>
      <c r="G24" s="8"/>
      <c r="K24" s="6"/>
      <c r="M24" s="2" t="s">
        <v>43</v>
      </c>
      <c r="N24" s="11" t="s">
        <v>44</v>
      </c>
      <c r="O24" s="12"/>
      <c r="P24" s="4">
        <v>16</v>
      </c>
      <c r="Q24" s="4"/>
      <c r="R24" s="4">
        <f t="shared" si="0"/>
        <v>16</v>
      </c>
    </row>
    <row r="25" spans="1:25" ht="24" customHeight="1" x14ac:dyDescent="0.3">
      <c r="A25" s="13"/>
      <c r="B25" s="28" t="s">
        <v>356</v>
      </c>
      <c r="G25" s="6"/>
      <c r="K25" s="6"/>
      <c r="M25" s="2" t="s">
        <v>45</v>
      </c>
      <c r="N25" s="48" t="s">
        <v>46</v>
      </c>
      <c r="O25" s="49"/>
      <c r="P25" s="4">
        <v>484</v>
      </c>
      <c r="Q25" s="4">
        <v>25</v>
      </c>
      <c r="R25" s="4">
        <f t="shared" si="0"/>
        <v>509</v>
      </c>
    </row>
    <row r="26" spans="1:25" ht="24" customHeight="1" x14ac:dyDescent="0.3">
      <c r="A26" s="13"/>
      <c r="B26" s="28" t="s">
        <v>355</v>
      </c>
      <c r="C26" s="14"/>
      <c r="G26" s="6"/>
      <c r="K26" s="6"/>
      <c r="M26" s="2" t="s">
        <v>117</v>
      </c>
      <c r="N26" s="48" t="s">
        <v>118</v>
      </c>
      <c r="O26" s="49"/>
      <c r="P26" s="4">
        <v>103</v>
      </c>
      <c r="Q26" s="4">
        <v>4</v>
      </c>
      <c r="R26" s="4">
        <f t="shared" si="0"/>
        <v>107</v>
      </c>
    </row>
    <row r="27" spans="1:25" ht="24" customHeight="1" x14ac:dyDescent="0.3">
      <c r="A27" s="13"/>
      <c r="B27" s="28"/>
      <c r="G27" s="6"/>
      <c r="K27" s="6"/>
      <c r="M27" s="2" t="s">
        <v>120</v>
      </c>
      <c r="N27" s="48" t="s">
        <v>121</v>
      </c>
      <c r="O27" s="49"/>
      <c r="P27" s="4">
        <v>17</v>
      </c>
      <c r="Q27" s="4"/>
      <c r="R27" s="4">
        <f t="shared" si="0"/>
        <v>17</v>
      </c>
    </row>
    <row r="28" spans="1:25" ht="24" customHeight="1" x14ac:dyDescent="0.3">
      <c r="A28" s="13" t="s">
        <v>158</v>
      </c>
      <c r="B28" s="28" t="s">
        <v>352</v>
      </c>
      <c r="G28" s="6"/>
      <c r="K28" s="6"/>
      <c r="M28" s="2" t="s">
        <v>128</v>
      </c>
      <c r="N28" s="48" t="s">
        <v>129</v>
      </c>
      <c r="O28" s="49"/>
      <c r="P28" s="4">
        <v>12</v>
      </c>
      <c r="Q28" s="4"/>
      <c r="R28" s="4">
        <f t="shared" si="0"/>
        <v>12</v>
      </c>
    </row>
    <row r="29" spans="1:25" ht="24" customHeight="1" x14ac:dyDescent="0.3">
      <c r="B29" s="5"/>
      <c r="G29" s="6"/>
      <c r="K29" s="6"/>
      <c r="M29" s="2" t="s">
        <v>229</v>
      </c>
      <c r="N29" s="62" t="s">
        <v>230</v>
      </c>
      <c r="O29" s="63"/>
      <c r="P29" s="4">
        <v>28</v>
      </c>
      <c r="Q29" s="4"/>
      <c r="R29" s="4">
        <f t="shared" si="0"/>
        <v>28</v>
      </c>
    </row>
    <row r="30" spans="1:25" ht="24" customHeight="1" x14ac:dyDescent="0.3">
      <c r="A30" s="13" t="s">
        <v>135</v>
      </c>
      <c r="B30" s="28" t="s">
        <v>357</v>
      </c>
      <c r="G30" s="6"/>
      <c r="K30" s="6"/>
      <c r="M30" s="2"/>
      <c r="N30" s="48"/>
      <c r="O30" s="49"/>
      <c r="P30" s="4"/>
      <c r="Q30" s="4"/>
      <c r="R30" s="4"/>
    </row>
    <row r="31" spans="1:25" ht="24" customHeight="1" x14ac:dyDescent="0.3">
      <c r="A31" s="13"/>
      <c r="B31" s="28"/>
      <c r="G31" s="6"/>
      <c r="K31" s="6"/>
      <c r="M31" s="2"/>
      <c r="N31" s="48"/>
      <c r="O31" s="49"/>
      <c r="P31" s="4"/>
      <c r="Q31" s="4"/>
      <c r="R31" s="4"/>
    </row>
    <row r="32" spans="1:25" ht="24" customHeight="1" x14ac:dyDescent="0.3">
      <c r="A32" s="13" t="s">
        <v>297</v>
      </c>
      <c r="B32" s="28" t="s">
        <v>353</v>
      </c>
      <c r="G32" s="6"/>
      <c r="K32" s="6"/>
      <c r="M32" s="2"/>
      <c r="N32" s="48"/>
      <c r="O32" s="49"/>
      <c r="P32" s="4"/>
      <c r="Q32" s="4"/>
      <c r="R32" s="4"/>
    </row>
    <row r="33" spans="1:18" ht="24" customHeight="1" x14ac:dyDescent="0.3">
      <c r="A33" s="13"/>
      <c r="B33" s="28" t="s">
        <v>328</v>
      </c>
      <c r="G33" s="6"/>
      <c r="K33" s="6"/>
      <c r="M33" s="2"/>
      <c r="N33" s="48"/>
      <c r="O33" s="49"/>
      <c r="P33" s="4"/>
      <c r="Q33" s="4"/>
      <c r="R33" s="4"/>
    </row>
    <row r="34" spans="1:18" ht="24" customHeight="1" x14ac:dyDescent="0.3">
      <c r="A34" s="13"/>
      <c r="B34" s="28"/>
      <c r="G34" s="6"/>
      <c r="K34" s="6"/>
      <c r="M34" s="2"/>
      <c r="N34" s="48"/>
      <c r="O34" s="49"/>
      <c r="P34" s="4"/>
      <c r="Q34" s="4"/>
      <c r="R34" s="4"/>
    </row>
    <row r="35" spans="1:18" ht="24" customHeight="1" x14ac:dyDescent="0.3">
      <c r="A35" s="13" t="s">
        <v>100</v>
      </c>
      <c r="B35" s="28" t="s">
        <v>274</v>
      </c>
      <c r="G35" s="6"/>
      <c r="K35" s="6"/>
      <c r="M35" s="2"/>
      <c r="N35" s="48"/>
      <c r="O35" s="49"/>
      <c r="P35" s="4"/>
      <c r="Q35" s="4"/>
      <c r="R35" s="4"/>
    </row>
    <row r="36" spans="1:18" ht="24" customHeight="1" x14ac:dyDescent="0.3">
      <c r="A36" s="13"/>
      <c r="B36" s="28"/>
      <c r="G36" s="6"/>
      <c r="K36" s="6"/>
      <c r="M36" s="2"/>
      <c r="N36" s="48"/>
      <c r="O36" s="49"/>
      <c r="P36" s="4"/>
      <c r="Q36" s="4"/>
      <c r="R36" s="4"/>
    </row>
    <row r="37" spans="1:18" ht="24" customHeight="1" x14ac:dyDescent="0.3">
      <c r="A37" s="13"/>
      <c r="B37" s="28"/>
      <c r="G37" s="6"/>
      <c r="K37" s="6"/>
      <c r="M37" s="2"/>
      <c r="N37" s="48"/>
      <c r="O37" s="49"/>
      <c r="P37" s="4"/>
      <c r="Q37" s="4"/>
      <c r="R37" s="4"/>
    </row>
    <row r="38" spans="1:18" ht="24" customHeight="1" x14ac:dyDescent="0.3">
      <c r="A38" s="13"/>
      <c r="B38" s="28"/>
      <c r="C38" s="1"/>
      <c r="D38" s="1"/>
      <c r="E38" s="1"/>
      <c r="F38" s="1"/>
      <c r="G38" s="7"/>
      <c r="H38" s="1"/>
      <c r="I38" s="1"/>
      <c r="J38" s="1"/>
      <c r="K38" s="7"/>
      <c r="M38" s="2"/>
      <c r="N38" s="48"/>
      <c r="O38" s="49"/>
      <c r="P38" s="4"/>
      <c r="Q38" s="4"/>
      <c r="R38" s="4"/>
    </row>
    <row r="39" spans="1:18" ht="24" customHeight="1" x14ac:dyDescent="0.3">
      <c r="A39" s="57" t="s">
        <v>47</v>
      </c>
      <c r="B39" s="57"/>
      <c r="C39" s="57"/>
      <c r="D39" s="57"/>
      <c r="E39" s="57"/>
      <c r="F39" s="57"/>
      <c r="G39" s="50" t="s">
        <v>48</v>
      </c>
      <c r="H39" s="51"/>
      <c r="I39" s="51"/>
      <c r="J39" s="51"/>
      <c r="K39" s="52"/>
      <c r="M39" s="2"/>
      <c r="N39" s="48"/>
      <c r="O39" s="49"/>
      <c r="P39" s="4"/>
      <c r="Q39" s="4"/>
      <c r="R39" s="4"/>
    </row>
    <row r="40" spans="1:18" ht="24" customHeight="1" x14ac:dyDescent="0.3">
      <c r="A40" s="56" t="s">
        <v>49</v>
      </c>
      <c r="B40" s="56" t="s">
        <v>50</v>
      </c>
      <c r="C40" s="56" t="s">
        <v>51</v>
      </c>
      <c r="D40" s="56" t="s">
        <v>52</v>
      </c>
      <c r="E40" s="56"/>
      <c r="F40" s="56"/>
      <c r="G40" s="56" t="s">
        <v>53</v>
      </c>
      <c r="H40" s="56" t="s">
        <v>50</v>
      </c>
      <c r="I40" s="56" t="s">
        <v>52</v>
      </c>
      <c r="J40" s="56"/>
      <c r="K40" s="56"/>
      <c r="M40" s="2"/>
      <c r="N40" s="48"/>
      <c r="O40" s="49"/>
      <c r="P40" s="4"/>
      <c r="Q40" s="4"/>
      <c r="R40" s="4"/>
    </row>
    <row r="41" spans="1:18" ht="24" customHeight="1" x14ac:dyDescent="0.3">
      <c r="A41" s="56"/>
      <c r="B41" s="56"/>
      <c r="C41" s="56"/>
      <c r="D41" s="9" t="s">
        <v>15</v>
      </c>
      <c r="E41" s="9" t="s">
        <v>16</v>
      </c>
      <c r="F41" s="9" t="s">
        <v>17</v>
      </c>
      <c r="G41" s="56"/>
      <c r="H41" s="56"/>
      <c r="I41" s="9" t="s">
        <v>15</v>
      </c>
      <c r="J41" s="9" t="s">
        <v>16</v>
      </c>
      <c r="K41" s="9" t="s">
        <v>17</v>
      </c>
      <c r="M41" s="2"/>
      <c r="N41" s="48"/>
      <c r="O41" s="49"/>
      <c r="P41" s="4"/>
      <c r="Q41" s="4"/>
      <c r="R41" s="4"/>
    </row>
    <row r="42" spans="1:18" ht="24" customHeight="1" x14ac:dyDescent="0.3">
      <c r="A42" s="2" t="s">
        <v>54</v>
      </c>
      <c r="B42" s="2"/>
      <c r="C42" s="2" t="s">
        <v>1</v>
      </c>
      <c r="D42" s="15">
        <v>6752</v>
      </c>
      <c r="E42" s="15"/>
      <c r="F42" s="15">
        <f>D42+E42</f>
        <v>6752</v>
      </c>
      <c r="G42" s="2" t="s">
        <v>55</v>
      </c>
      <c r="H42" s="2" t="s">
        <v>56</v>
      </c>
      <c r="I42" s="15">
        <v>41</v>
      </c>
      <c r="J42" s="15"/>
      <c r="K42" s="15">
        <f>I42+J42</f>
        <v>41</v>
      </c>
      <c r="M42" s="2"/>
      <c r="N42" s="48"/>
      <c r="O42" s="49"/>
      <c r="P42" s="4"/>
      <c r="Q42" s="4"/>
      <c r="R42" s="4"/>
    </row>
    <row r="43" spans="1:18" ht="24" customHeight="1" x14ac:dyDescent="0.3">
      <c r="A43" s="2" t="s">
        <v>57</v>
      </c>
      <c r="B43" s="2"/>
      <c r="C43" s="2" t="s">
        <v>58</v>
      </c>
      <c r="D43" s="15">
        <v>1975.2249999999997</v>
      </c>
      <c r="E43" s="15"/>
      <c r="F43" s="15">
        <f t="shared" ref="F43:F52" si="1">D43+E43</f>
        <v>1975.2249999999997</v>
      </c>
      <c r="G43" s="2" t="s">
        <v>55</v>
      </c>
      <c r="H43" s="2" t="s">
        <v>59</v>
      </c>
      <c r="I43" s="15">
        <v>104</v>
      </c>
      <c r="J43" s="15"/>
      <c r="K43" s="15">
        <f t="shared" ref="K43:K56" si="2">I43+J43</f>
        <v>104</v>
      </c>
      <c r="M43" s="2"/>
      <c r="N43" s="48"/>
      <c r="O43" s="49"/>
      <c r="P43" s="4"/>
      <c r="Q43" s="4"/>
      <c r="R43" s="4"/>
    </row>
    <row r="44" spans="1:18" ht="24" customHeight="1" x14ac:dyDescent="0.3">
      <c r="A44" s="2" t="s">
        <v>60</v>
      </c>
      <c r="B44" s="2"/>
      <c r="C44" s="2" t="s">
        <v>58</v>
      </c>
      <c r="D44" s="15">
        <v>5893.3449999999966</v>
      </c>
      <c r="E44" s="15"/>
      <c r="F44" s="15">
        <f t="shared" si="1"/>
        <v>5893.3449999999966</v>
      </c>
      <c r="G44" s="2" t="s">
        <v>55</v>
      </c>
      <c r="H44" s="26" t="s">
        <v>138</v>
      </c>
      <c r="I44" s="15">
        <v>387</v>
      </c>
      <c r="J44" s="15"/>
      <c r="K44" s="15">
        <f t="shared" si="2"/>
        <v>387</v>
      </c>
      <c r="M44" s="2"/>
      <c r="N44" s="48"/>
      <c r="O44" s="49"/>
      <c r="P44" s="4"/>
      <c r="Q44" s="4"/>
      <c r="R44" s="4"/>
    </row>
    <row r="45" spans="1:18" ht="24" customHeight="1" x14ac:dyDescent="0.3">
      <c r="A45" s="2" t="s">
        <v>62</v>
      </c>
      <c r="B45" s="2"/>
      <c r="C45" s="2" t="s">
        <v>58</v>
      </c>
      <c r="D45" s="15">
        <v>76.680000000000007</v>
      </c>
      <c r="E45" s="15"/>
      <c r="F45" s="15">
        <f t="shared" si="1"/>
        <v>76.680000000000007</v>
      </c>
      <c r="G45" s="2" t="s">
        <v>55</v>
      </c>
      <c r="H45" s="2" t="s">
        <v>63</v>
      </c>
      <c r="I45" s="15">
        <v>82</v>
      </c>
      <c r="J45" s="15"/>
      <c r="K45" s="15">
        <f t="shared" si="2"/>
        <v>82</v>
      </c>
      <c r="M45" s="2"/>
      <c r="N45" s="48"/>
      <c r="O45" s="49"/>
      <c r="P45" s="4"/>
      <c r="Q45" s="4"/>
      <c r="R45" s="4"/>
    </row>
    <row r="46" spans="1:18" ht="24" customHeight="1" x14ac:dyDescent="0.3">
      <c r="A46" s="2" t="s">
        <v>64</v>
      </c>
      <c r="B46" s="2"/>
      <c r="C46" s="2" t="s">
        <v>58</v>
      </c>
      <c r="D46" s="15">
        <v>10193.669999999998</v>
      </c>
      <c r="E46" s="15"/>
      <c r="F46" s="15">
        <f t="shared" si="1"/>
        <v>10193.669999999998</v>
      </c>
      <c r="G46" s="2" t="s">
        <v>55</v>
      </c>
      <c r="H46" s="26" t="s">
        <v>106</v>
      </c>
      <c r="I46" s="15">
        <v>7</v>
      </c>
      <c r="J46" s="15"/>
      <c r="K46" s="15">
        <f t="shared" si="2"/>
        <v>7</v>
      </c>
      <c r="M46" s="2"/>
      <c r="N46" s="48"/>
      <c r="O46" s="49"/>
      <c r="P46" s="4"/>
      <c r="Q46" s="4"/>
      <c r="R46" s="4"/>
    </row>
    <row r="47" spans="1:18" ht="24" customHeight="1" x14ac:dyDescent="0.3">
      <c r="A47" s="2" t="s">
        <v>66</v>
      </c>
      <c r="B47" s="2"/>
      <c r="C47" s="2" t="s">
        <v>58</v>
      </c>
      <c r="D47" s="15">
        <v>63.375999999999998</v>
      </c>
      <c r="E47" s="15"/>
      <c r="F47" s="15">
        <f t="shared" si="1"/>
        <v>63.375999999999998</v>
      </c>
      <c r="G47" s="2" t="s">
        <v>65</v>
      </c>
      <c r="H47" s="2" t="s">
        <v>98</v>
      </c>
      <c r="I47" s="15">
        <v>826</v>
      </c>
      <c r="J47" s="15"/>
      <c r="K47" s="15">
        <f>I47+J47</f>
        <v>826</v>
      </c>
      <c r="M47" s="2" t="s">
        <v>67</v>
      </c>
      <c r="N47" s="48"/>
      <c r="O47" s="49"/>
      <c r="P47" s="4">
        <f>SUM(P10:P46)</f>
        <v>16044</v>
      </c>
      <c r="Q47" s="4">
        <f>SUM(Q10:Q46)</f>
        <v>127</v>
      </c>
      <c r="R47" s="4">
        <f>SUM(R10:R46)</f>
        <v>16171</v>
      </c>
    </row>
    <row r="48" spans="1:18" ht="24" customHeight="1" x14ac:dyDescent="0.3">
      <c r="A48" s="2" t="s">
        <v>68</v>
      </c>
      <c r="B48" s="2"/>
      <c r="C48" s="2" t="s">
        <v>58</v>
      </c>
      <c r="D48" s="15">
        <v>130.83299999999997</v>
      </c>
      <c r="E48" s="15"/>
      <c r="F48" s="15">
        <f t="shared" si="1"/>
        <v>130.83299999999997</v>
      </c>
      <c r="G48" s="2" t="s">
        <v>110</v>
      </c>
      <c r="H48" s="2"/>
      <c r="I48" s="15">
        <v>153</v>
      </c>
      <c r="J48" s="15"/>
      <c r="K48" s="15">
        <f t="shared" si="2"/>
        <v>153</v>
      </c>
      <c r="M48" s="50" t="s">
        <v>70</v>
      </c>
      <c r="N48" s="51"/>
      <c r="O48" s="51"/>
      <c r="P48" s="51"/>
      <c r="Q48" s="51"/>
      <c r="R48" s="52"/>
    </row>
    <row r="49" spans="1:18" ht="24" customHeight="1" x14ac:dyDescent="0.3">
      <c r="A49" s="2" t="s">
        <v>71</v>
      </c>
      <c r="B49" s="2"/>
      <c r="C49" s="2" t="s">
        <v>58</v>
      </c>
      <c r="D49" s="15">
        <v>81.60799999999999</v>
      </c>
      <c r="E49" s="15"/>
      <c r="F49" s="15">
        <f t="shared" si="1"/>
        <v>81.60799999999999</v>
      </c>
      <c r="G49" s="2" t="s">
        <v>75</v>
      </c>
      <c r="H49" s="2"/>
      <c r="I49" s="15">
        <v>37</v>
      </c>
      <c r="J49" s="15"/>
      <c r="K49" s="15">
        <f t="shared" si="2"/>
        <v>37</v>
      </c>
      <c r="M49" s="31"/>
      <c r="N49" s="29"/>
      <c r="O49" s="29"/>
      <c r="P49" s="29"/>
      <c r="Q49" s="29"/>
      <c r="R49" s="30"/>
    </row>
    <row r="50" spans="1:18" ht="24" customHeight="1" x14ac:dyDescent="0.3">
      <c r="A50" s="2" t="s">
        <v>74</v>
      </c>
      <c r="B50" s="2"/>
      <c r="C50" s="2" t="s">
        <v>58</v>
      </c>
      <c r="D50" s="15">
        <v>62.811000000000007</v>
      </c>
      <c r="F50" s="15">
        <f t="shared" si="1"/>
        <v>62.811000000000007</v>
      </c>
      <c r="G50" s="2" t="s">
        <v>77</v>
      </c>
      <c r="H50" s="2" t="s">
        <v>145</v>
      </c>
      <c r="I50" s="15">
        <v>30</v>
      </c>
      <c r="J50" s="15">
        <v>1</v>
      </c>
      <c r="K50" s="15">
        <f t="shared" si="2"/>
        <v>31</v>
      </c>
      <c r="M50" s="53"/>
      <c r="N50" s="54"/>
      <c r="O50" s="54"/>
      <c r="P50" s="54"/>
      <c r="Q50" s="54"/>
      <c r="R50" s="55"/>
    </row>
    <row r="51" spans="1:18" ht="24" customHeight="1" x14ac:dyDescent="0.3">
      <c r="A51" s="2" t="s">
        <v>132</v>
      </c>
      <c r="B51" s="2"/>
      <c r="C51" s="2" t="s">
        <v>133</v>
      </c>
      <c r="D51" s="15">
        <v>40.799999999999997</v>
      </c>
      <c r="E51" s="15"/>
      <c r="F51" s="15">
        <f t="shared" si="1"/>
        <v>40.799999999999997</v>
      </c>
      <c r="G51" s="2" t="s">
        <v>77</v>
      </c>
      <c r="H51" s="20" t="s">
        <v>104</v>
      </c>
      <c r="I51" s="21">
        <v>84</v>
      </c>
      <c r="K51" s="21">
        <f t="shared" si="2"/>
        <v>84</v>
      </c>
      <c r="M51" s="22"/>
      <c r="N51" s="23"/>
      <c r="O51" s="23"/>
      <c r="P51" s="23"/>
      <c r="Q51" s="23"/>
      <c r="R51" s="24"/>
    </row>
    <row r="52" spans="1:18" ht="24" customHeight="1" x14ac:dyDescent="0.3">
      <c r="A52" s="2" t="s">
        <v>79</v>
      </c>
      <c r="B52" s="2"/>
      <c r="C52" s="2" t="s">
        <v>58</v>
      </c>
      <c r="D52" s="15">
        <v>574.22030000000007</v>
      </c>
      <c r="E52" s="15"/>
      <c r="F52" s="15">
        <f t="shared" si="1"/>
        <v>574.22030000000007</v>
      </c>
      <c r="G52" s="2" t="s">
        <v>77</v>
      </c>
      <c r="H52" s="2" t="s">
        <v>143</v>
      </c>
      <c r="I52" s="15">
        <v>3</v>
      </c>
      <c r="J52" s="15"/>
      <c r="K52" s="21">
        <f t="shared" si="2"/>
        <v>3</v>
      </c>
      <c r="M52" s="19"/>
      <c r="R52" s="6"/>
    </row>
    <row r="53" spans="1:18" ht="24" customHeight="1" x14ac:dyDescent="0.3">
      <c r="A53" s="2"/>
      <c r="B53" s="2"/>
      <c r="C53" s="2"/>
      <c r="D53" s="15"/>
      <c r="E53" s="15"/>
      <c r="F53" s="15"/>
      <c r="G53" s="2" t="s">
        <v>77</v>
      </c>
      <c r="H53" s="2" t="s">
        <v>144</v>
      </c>
      <c r="I53" s="15">
        <v>1</v>
      </c>
      <c r="J53" s="15"/>
      <c r="K53" s="15">
        <f>I53+J53</f>
        <v>1</v>
      </c>
      <c r="M53" s="5"/>
      <c r="R53" s="6"/>
    </row>
    <row r="54" spans="1:18" ht="24" customHeight="1" x14ac:dyDescent="0.3">
      <c r="A54" s="2"/>
      <c r="B54" s="2"/>
      <c r="C54" s="2"/>
      <c r="D54" s="15"/>
      <c r="E54" s="15"/>
      <c r="F54" s="15"/>
      <c r="G54" s="2" t="s">
        <v>85</v>
      </c>
      <c r="H54" s="2"/>
      <c r="I54" s="15">
        <v>536</v>
      </c>
      <c r="J54" s="15">
        <v>4</v>
      </c>
      <c r="K54" s="15">
        <f t="shared" si="2"/>
        <v>540</v>
      </c>
      <c r="M54" s="5"/>
      <c r="R54" s="6"/>
    </row>
    <row r="55" spans="1:18" ht="24" customHeight="1" x14ac:dyDescent="0.3">
      <c r="A55" s="2"/>
      <c r="B55" s="2"/>
      <c r="C55" s="2"/>
      <c r="D55" s="15"/>
      <c r="E55" s="15"/>
      <c r="F55" s="15"/>
      <c r="G55" s="2" t="s">
        <v>123</v>
      </c>
      <c r="H55" s="4"/>
      <c r="I55" s="4">
        <v>8</v>
      </c>
      <c r="J55" s="4"/>
      <c r="K55" s="15">
        <f t="shared" si="2"/>
        <v>8</v>
      </c>
      <c r="M55" s="5"/>
      <c r="R55" s="6"/>
    </row>
    <row r="56" spans="1:18" ht="24" customHeight="1" x14ac:dyDescent="0.3">
      <c r="A56" s="2"/>
      <c r="B56" s="2"/>
      <c r="C56" s="2"/>
      <c r="D56" s="15"/>
      <c r="E56" s="15"/>
      <c r="F56" s="15"/>
      <c r="G56" s="2" t="s">
        <v>124</v>
      </c>
      <c r="H56" s="2"/>
      <c r="I56" s="15">
        <v>2</v>
      </c>
      <c r="J56" s="15"/>
      <c r="K56" s="15">
        <f t="shared" si="2"/>
        <v>2</v>
      </c>
      <c r="M56" s="3"/>
      <c r="N56" s="1"/>
      <c r="O56" s="1"/>
      <c r="P56" s="1"/>
      <c r="Q56" s="1"/>
      <c r="R56" s="7"/>
    </row>
    <row r="59" spans="1:18" x14ac:dyDescent="0.3">
      <c r="G59" t="s">
        <v>90</v>
      </c>
      <c r="H59" t="s">
        <v>99</v>
      </c>
      <c r="I59">
        <v>1</v>
      </c>
      <c r="K59">
        <v>1</v>
      </c>
    </row>
    <row r="60" spans="1:18" x14ac:dyDescent="0.3">
      <c r="G60" t="s">
        <v>3</v>
      </c>
      <c r="H60" t="s">
        <v>89</v>
      </c>
      <c r="I60">
        <v>29</v>
      </c>
      <c r="K60">
        <v>29</v>
      </c>
    </row>
    <row r="61" spans="1:18" x14ac:dyDescent="0.3">
      <c r="A61" s="2" t="s">
        <v>81</v>
      </c>
      <c r="B61" s="2"/>
      <c r="C61" s="2" t="s">
        <v>58</v>
      </c>
      <c r="D61" s="15">
        <v>1.5610000000000002</v>
      </c>
      <c r="E61" s="15"/>
      <c r="F61" s="15">
        <f t="shared" ref="F61" si="3">D61+E61</f>
        <v>1.5610000000000002</v>
      </c>
      <c r="G61" t="s">
        <v>90</v>
      </c>
      <c r="H61" t="s">
        <v>91</v>
      </c>
      <c r="I61">
        <v>11</v>
      </c>
      <c r="K61">
        <v>11</v>
      </c>
    </row>
    <row r="62" spans="1:18" x14ac:dyDescent="0.3">
      <c r="A62" s="2" t="s">
        <v>76</v>
      </c>
      <c r="B62" s="2" t="s">
        <v>115</v>
      </c>
      <c r="C62" s="2" t="s">
        <v>114</v>
      </c>
      <c r="D62" s="15">
        <v>235.7</v>
      </c>
      <c r="E62" s="15"/>
      <c r="F62" s="15">
        <f>D62+E62</f>
        <v>235.7</v>
      </c>
      <c r="G62" t="s">
        <v>90</v>
      </c>
      <c r="H62" t="s">
        <v>39</v>
      </c>
      <c r="I62">
        <v>26</v>
      </c>
      <c r="K62">
        <v>26</v>
      </c>
    </row>
    <row r="63" spans="1:18" x14ac:dyDescent="0.3">
      <c r="A63" t="s">
        <v>76</v>
      </c>
      <c r="B63" t="s">
        <v>130</v>
      </c>
      <c r="C63" t="s">
        <v>131</v>
      </c>
      <c r="D63">
        <v>27.4</v>
      </c>
      <c r="F63">
        <v>27.4</v>
      </c>
      <c r="G63" t="s">
        <v>92</v>
      </c>
      <c r="H63" t="s">
        <v>93</v>
      </c>
      <c r="I63">
        <v>49</v>
      </c>
      <c r="K63">
        <v>49</v>
      </c>
    </row>
    <row r="64" spans="1:18" x14ac:dyDescent="0.3">
      <c r="G64" t="s">
        <v>94</v>
      </c>
      <c r="H64" t="s">
        <v>95</v>
      </c>
      <c r="I64">
        <v>27</v>
      </c>
      <c r="K64">
        <v>27</v>
      </c>
    </row>
    <row r="65" spans="1:11" x14ac:dyDescent="0.3">
      <c r="A65" t="s">
        <v>87</v>
      </c>
      <c r="C65" t="s">
        <v>88</v>
      </c>
      <c r="D65">
        <v>2918.6059999999998</v>
      </c>
      <c r="F65">
        <v>2918.6059999999998</v>
      </c>
      <c r="G65" s="2" t="s">
        <v>112</v>
      </c>
      <c r="H65" s="26" t="s">
        <v>113</v>
      </c>
      <c r="I65" s="15">
        <v>5</v>
      </c>
      <c r="J65" s="15"/>
      <c r="K65" s="15">
        <f t="shared" ref="K65" si="4">I65+J65</f>
        <v>5</v>
      </c>
    </row>
    <row r="66" spans="1:11" x14ac:dyDescent="0.3">
      <c r="A66" t="s">
        <v>82</v>
      </c>
      <c r="B66" t="s">
        <v>83</v>
      </c>
      <c r="C66" t="s">
        <v>84</v>
      </c>
      <c r="D66">
        <v>200</v>
      </c>
      <c r="F66">
        <v>200</v>
      </c>
    </row>
    <row r="67" spans="1:11" x14ac:dyDescent="0.3">
      <c r="A67" t="s">
        <v>86</v>
      </c>
      <c r="B67" t="s">
        <v>2</v>
      </c>
      <c r="C67" t="s">
        <v>84</v>
      </c>
      <c r="D67">
        <v>50</v>
      </c>
      <c r="F67">
        <v>50</v>
      </c>
      <c r="G67" s="2" t="s">
        <v>124</v>
      </c>
      <c r="H67" s="2"/>
      <c r="I67" s="15">
        <v>2</v>
      </c>
      <c r="J67" s="15"/>
      <c r="K67" s="15">
        <f t="shared" ref="K67" si="5">I67+J67</f>
        <v>2</v>
      </c>
    </row>
    <row r="68" spans="1:11" x14ac:dyDescent="0.3">
      <c r="G68" s="2"/>
      <c r="H68" s="26"/>
      <c r="I68" s="15"/>
      <c r="J68" s="15"/>
      <c r="K68" s="15"/>
    </row>
    <row r="69" spans="1:11" x14ac:dyDescent="0.3">
      <c r="G69" s="2" t="s">
        <v>69</v>
      </c>
      <c r="H69" s="2"/>
      <c r="I69" s="15">
        <v>7</v>
      </c>
      <c r="J69" s="15"/>
      <c r="K69" s="15">
        <f t="shared" ref="K69:K71" si="6">I69+J69</f>
        <v>7</v>
      </c>
    </row>
    <row r="70" spans="1:11" x14ac:dyDescent="0.3">
      <c r="G70" s="2" t="s">
        <v>72</v>
      </c>
      <c r="H70" s="2" t="s">
        <v>73</v>
      </c>
      <c r="I70" s="15">
        <v>10</v>
      </c>
      <c r="J70" s="15"/>
      <c r="K70" s="15">
        <f t="shared" si="6"/>
        <v>10</v>
      </c>
    </row>
    <row r="71" spans="1:11" x14ac:dyDescent="0.3">
      <c r="G71" s="2" t="s">
        <v>108</v>
      </c>
      <c r="H71" s="2" t="s">
        <v>109</v>
      </c>
      <c r="I71" s="15">
        <v>1</v>
      </c>
      <c r="J71" s="15">
        <v>1</v>
      </c>
      <c r="K71" s="15">
        <f t="shared" si="6"/>
        <v>2</v>
      </c>
    </row>
    <row r="72" spans="1:11" x14ac:dyDescent="0.3">
      <c r="G72" t="s">
        <v>77</v>
      </c>
      <c r="H72" t="s">
        <v>78</v>
      </c>
      <c r="I72">
        <v>4</v>
      </c>
      <c r="K72">
        <v>4</v>
      </c>
    </row>
    <row r="73" spans="1:11" x14ac:dyDescent="0.3">
      <c r="G73" s="2" t="s">
        <v>77</v>
      </c>
      <c r="H73" s="2" t="s">
        <v>98</v>
      </c>
      <c r="I73" s="15">
        <v>7</v>
      </c>
      <c r="J73" s="15"/>
      <c r="K73" s="15">
        <f t="shared" ref="K73:K74" si="7">I73+J73</f>
        <v>7</v>
      </c>
    </row>
    <row r="74" spans="1:11" x14ac:dyDescent="0.3">
      <c r="G74" s="2" t="s">
        <v>77</v>
      </c>
      <c r="H74" s="2" t="s">
        <v>103</v>
      </c>
      <c r="I74" s="15">
        <v>2</v>
      </c>
      <c r="J74" s="15"/>
      <c r="K74" s="15">
        <f t="shared" si="7"/>
        <v>2</v>
      </c>
    </row>
    <row r="75" spans="1:11" x14ac:dyDescent="0.3">
      <c r="G75" s="2" t="s">
        <v>77</v>
      </c>
      <c r="H75" s="2" t="s">
        <v>111</v>
      </c>
      <c r="I75" s="15">
        <v>22</v>
      </c>
      <c r="J75" s="15"/>
      <c r="K75" s="15">
        <f>I75+J75</f>
        <v>22</v>
      </c>
    </row>
    <row r="76" spans="1:11" x14ac:dyDescent="0.3">
      <c r="G76" s="2" t="s">
        <v>77</v>
      </c>
      <c r="H76" s="2" t="s">
        <v>143</v>
      </c>
      <c r="I76" s="15">
        <v>1</v>
      </c>
      <c r="J76" s="15"/>
      <c r="K76" s="15">
        <v>1</v>
      </c>
    </row>
    <row r="77" spans="1:11" x14ac:dyDescent="0.3">
      <c r="G77" s="2" t="s">
        <v>90</v>
      </c>
      <c r="H77" s="4"/>
      <c r="I77" s="4">
        <v>159</v>
      </c>
      <c r="J77" s="4"/>
      <c r="K77" s="15">
        <f t="shared" ref="K77:K78" si="8">I77+J77</f>
        <v>159</v>
      </c>
    </row>
    <row r="78" spans="1:11" x14ac:dyDescent="0.3">
      <c r="G78" s="2" t="s">
        <v>101</v>
      </c>
      <c r="H78" s="2" t="s">
        <v>102</v>
      </c>
      <c r="I78" s="15">
        <v>85</v>
      </c>
      <c r="J78" s="15"/>
      <c r="K78" s="15">
        <f t="shared" si="8"/>
        <v>85</v>
      </c>
    </row>
    <row r="79" spans="1:11" x14ac:dyDescent="0.3">
      <c r="G79" s="2" t="s">
        <v>77</v>
      </c>
      <c r="H79" s="2" t="s">
        <v>80</v>
      </c>
      <c r="I79" s="15">
        <v>34</v>
      </c>
      <c r="J79" s="15"/>
      <c r="K79" s="15">
        <f>I79+J79</f>
        <v>34</v>
      </c>
    </row>
    <row r="80" spans="1:11" x14ac:dyDescent="0.3">
      <c r="G80" s="2" t="s">
        <v>55</v>
      </c>
      <c r="H80" s="26" t="s">
        <v>106</v>
      </c>
      <c r="I80" s="15">
        <v>6</v>
      </c>
      <c r="J80" s="15"/>
      <c r="K80" s="15">
        <v>6</v>
      </c>
    </row>
    <row r="81" spans="7:11" x14ac:dyDescent="0.3">
      <c r="G81" s="2" t="s">
        <v>55</v>
      </c>
      <c r="H81" s="26" t="s">
        <v>61</v>
      </c>
      <c r="I81" s="15">
        <v>377</v>
      </c>
      <c r="J81" s="15"/>
      <c r="K81" s="15">
        <v>377</v>
      </c>
    </row>
    <row r="82" spans="7:11" x14ac:dyDescent="0.3">
      <c r="G82" s="2" t="s">
        <v>55</v>
      </c>
      <c r="H82" s="26" t="s">
        <v>134</v>
      </c>
      <c r="I82" s="15">
        <v>10</v>
      </c>
      <c r="J82" s="15"/>
      <c r="K82" s="15">
        <v>10</v>
      </c>
    </row>
    <row r="83" spans="7:11" x14ac:dyDescent="0.3">
      <c r="G83" s="2"/>
      <c r="H83" s="26"/>
      <c r="I83" s="15"/>
      <c r="J83" s="15"/>
      <c r="K83" s="15"/>
    </row>
  </sheetData>
  <mergeCells count="58">
    <mergeCell ref="N45:O45"/>
    <mergeCell ref="N46:O46"/>
    <mergeCell ref="N47:O47"/>
    <mergeCell ref="M48:R48"/>
    <mergeCell ref="M50:R50"/>
    <mergeCell ref="I40:K40"/>
    <mergeCell ref="N40:O40"/>
    <mergeCell ref="N41:O41"/>
    <mergeCell ref="N42:O42"/>
    <mergeCell ref="N43:O43"/>
    <mergeCell ref="N44:O44"/>
    <mergeCell ref="A40:A41"/>
    <mergeCell ref="B40:B41"/>
    <mergeCell ref="C40:C41"/>
    <mergeCell ref="D40:F40"/>
    <mergeCell ref="G40:G41"/>
    <mergeCell ref="H40:H41"/>
    <mergeCell ref="N36:O36"/>
    <mergeCell ref="N37:O37"/>
    <mergeCell ref="N38:O38"/>
    <mergeCell ref="A39:F39"/>
    <mergeCell ref="G39:K39"/>
    <mergeCell ref="N39:O39"/>
    <mergeCell ref="N30:O30"/>
    <mergeCell ref="N31:O31"/>
    <mergeCell ref="N32:O32"/>
    <mergeCell ref="N33:O33"/>
    <mergeCell ref="N34:O34"/>
    <mergeCell ref="N35:O35"/>
    <mergeCell ref="A23:K23"/>
    <mergeCell ref="N25:O25"/>
    <mergeCell ref="N26:O26"/>
    <mergeCell ref="N27:O27"/>
    <mergeCell ref="N28:O28"/>
    <mergeCell ref="N29:O29"/>
    <mergeCell ref="N10:O10"/>
    <mergeCell ref="N11:O11"/>
    <mergeCell ref="N12:O12"/>
    <mergeCell ref="N13:O13"/>
    <mergeCell ref="N14:O14"/>
    <mergeCell ref="N15:O15"/>
    <mergeCell ref="A5:C5"/>
    <mergeCell ref="D5:G5"/>
    <mergeCell ref="H5:K5"/>
    <mergeCell ref="A7:K7"/>
    <mergeCell ref="M7:R7"/>
    <mergeCell ref="M8:O9"/>
    <mergeCell ref="P8:R8"/>
    <mergeCell ref="A1:R1"/>
    <mergeCell ref="A3:C3"/>
    <mergeCell ref="D3:K3"/>
    <mergeCell ref="N3:N5"/>
    <mergeCell ref="O3:P3"/>
    <mergeCell ref="Q3:R3"/>
    <mergeCell ref="A4:C4"/>
    <mergeCell ref="D4:K4"/>
    <mergeCell ref="O4:P5"/>
    <mergeCell ref="Q4:R5"/>
  </mergeCells>
  <phoneticPr fontId="1" type="noConversion"/>
  <printOptions horizontalCentered="1"/>
  <pageMargins left="0.70866141732283461" right="0.70866141732283461" top="0.74803149606299213" bottom="0.74803149606299213" header="0.31496062992125984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30</vt:i4>
      </vt:variant>
      <vt:variant>
        <vt:lpstr>이름 지정된 범위</vt:lpstr>
      </vt:variant>
      <vt:variant>
        <vt:i4>30</vt:i4>
      </vt:variant>
    </vt:vector>
  </HeadingPairs>
  <TitlesOfParts>
    <vt:vector size="60" baseType="lpstr">
      <vt:lpstr>5.2</vt:lpstr>
      <vt:lpstr>5.3</vt:lpstr>
      <vt:lpstr>5.4</vt:lpstr>
      <vt:lpstr>5.5</vt:lpstr>
      <vt:lpstr>5.6</vt:lpstr>
      <vt:lpstr>5.7</vt:lpstr>
      <vt:lpstr>5.8</vt:lpstr>
      <vt:lpstr>5.9</vt:lpstr>
      <vt:lpstr>5.10</vt:lpstr>
      <vt:lpstr>5.11</vt:lpstr>
      <vt:lpstr>5.12</vt:lpstr>
      <vt:lpstr>5.13</vt:lpstr>
      <vt:lpstr>5.14</vt:lpstr>
      <vt:lpstr>5.15</vt:lpstr>
      <vt:lpstr>5.16</vt:lpstr>
      <vt:lpstr>5.17</vt:lpstr>
      <vt:lpstr>5.18</vt:lpstr>
      <vt:lpstr>5.19</vt:lpstr>
      <vt:lpstr>5.20</vt:lpstr>
      <vt:lpstr>5.21</vt:lpstr>
      <vt:lpstr>5.22</vt:lpstr>
      <vt:lpstr>5.23</vt:lpstr>
      <vt:lpstr>5.24</vt:lpstr>
      <vt:lpstr>5.25</vt:lpstr>
      <vt:lpstr>5.26</vt:lpstr>
      <vt:lpstr>5.27</vt:lpstr>
      <vt:lpstr>5.28</vt:lpstr>
      <vt:lpstr>5.29</vt:lpstr>
      <vt:lpstr>5.30</vt:lpstr>
      <vt:lpstr>5.31</vt:lpstr>
      <vt:lpstr>'5.10'!Print_Area</vt:lpstr>
      <vt:lpstr>'5.11'!Print_Area</vt:lpstr>
      <vt:lpstr>'5.12'!Print_Area</vt:lpstr>
      <vt:lpstr>'5.13'!Print_Area</vt:lpstr>
      <vt:lpstr>'5.14'!Print_Area</vt:lpstr>
      <vt:lpstr>'5.15'!Print_Area</vt:lpstr>
      <vt:lpstr>'5.16'!Print_Area</vt:lpstr>
      <vt:lpstr>'5.17'!Print_Area</vt:lpstr>
      <vt:lpstr>'5.18'!Print_Area</vt:lpstr>
      <vt:lpstr>'5.19'!Print_Area</vt:lpstr>
      <vt:lpstr>'5.2'!Print_Area</vt:lpstr>
      <vt:lpstr>'5.20'!Print_Area</vt:lpstr>
      <vt:lpstr>'5.21'!Print_Area</vt:lpstr>
      <vt:lpstr>'5.22'!Print_Area</vt:lpstr>
      <vt:lpstr>'5.23'!Print_Area</vt:lpstr>
      <vt:lpstr>'5.24'!Print_Area</vt:lpstr>
      <vt:lpstr>'5.25'!Print_Area</vt:lpstr>
      <vt:lpstr>'5.26'!Print_Area</vt:lpstr>
      <vt:lpstr>'5.27'!Print_Area</vt:lpstr>
      <vt:lpstr>'5.28'!Print_Area</vt:lpstr>
      <vt:lpstr>'5.29'!Print_Area</vt:lpstr>
      <vt:lpstr>'5.3'!Print_Area</vt:lpstr>
      <vt:lpstr>'5.30'!Print_Area</vt:lpstr>
      <vt:lpstr>'5.31'!Print_Area</vt:lpstr>
      <vt:lpstr>'5.4'!Print_Area</vt:lpstr>
      <vt:lpstr>'5.5'!Print_Area</vt:lpstr>
      <vt:lpstr>'5.6'!Print_Area</vt:lpstr>
      <vt:lpstr>'5.7'!Print_Area</vt:lpstr>
      <vt:lpstr>'5.8'!Print_Area</vt:lpstr>
      <vt:lpstr>'5.9'!Print_Area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예슬린 김</cp:lastModifiedBy>
  <cp:lastPrinted>2024-05-29T07:30:19Z</cp:lastPrinted>
  <dcterms:created xsi:type="dcterms:W3CDTF">2021-01-31T22:13:59Z</dcterms:created>
  <dcterms:modified xsi:type="dcterms:W3CDTF">2024-05-31T01:00:20Z</dcterms:modified>
</cp:coreProperties>
</file>